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c18b68cb0640ce" /></Relationships>
</file>

<file path=xl/workbook.xml><?xml version="1.0" encoding="utf-8"?>
<x:workbook xmlns:x="http://schemas.openxmlformats.org/spreadsheetml/2006/main">
  <x:sheets>
    <x:sheet xmlns:r="http://schemas.openxmlformats.org/officeDocument/2006/relationships" name="Dashboard" sheetId="1" r:id="R0910446418704c02"/>
    <x:sheet xmlns:r="http://schemas.openxmlformats.org/officeDocument/2006/relationships" name="Daily Analysis" sheetId="2" r:id="Rf51ded7cc5a04fc4"/>
    <x:sheet xmlns:r="http://schemas.openxmlformats.org/officeDocument/2006/relationships" name="Call Topics" sheetId="3" r:id="Re5507b4285024770"/>
    <x:sheet xmlns:r="http://schemas.openxmlformats.org/officeDocument/2006/relationships" name="Repeat Detail" sheetId="4" r:id="R153d84917d45409f"/>
    <x:sheet xmlns:r="http://schemas.openxmlformats.org/officeDocument/2006/relationships" name="Raw Data" sheetId="5" r:id="R7ed9d15b9bc04e91"/>
    <x:sheet xmlns:r="http://schemas.openxmlformats.org/officeDocument/2006/relationships" name="Topic Rules" sheetId="6" r:id="Rb94bab9b59b44b16"/>
    <x:sheet xmlns:r="http://schemas.openxmlformats.org/officeDocument/2006/relationships" name="Setup" sheetId="7" r:id="R12c159cad4a84ca8"/>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
    <x:numFmt numFmtId="201" formatCode="mm/dd/yy"/>
    <x:numFmt numFmtId="202" formatCode="mm/dd/yy hh:mm:ss"/>
    <x:numFmt numFmtId="203" formatCode="0.00"/>
    <x:numFmt numFmtId="204" formatCode="#,##0"/>
    <x:numFmt numFmtId="205" formatCode="0.00%"/>
    <x:numFmt numFmtId="206" formatCode="mmm d, yyyy"/>
    <x:numFmt numFmtId="207" formatCode="mmm yyyy"/>
  </x:numFmts>
  <x:fonts count="8">
    <x:font>
      <x:sz val="11"/>
      <x:name val="Carlito"/>
    </x:font>
    <x:font>
      <x:b/>
      <x:sz val="10"/>
      <x:color rgb="FFFFFFFF"/>
      <x:name val="Arial"/>
    </x:font>
    <x:font>
      <x:sz val="10"/>
      <x:color rgb="FF566573"/>
      <x:name val="Arial"/>
    </x:font>
    <x:font>
      <x:sz val="10"/>
      <x:color rgb="FF23313E"/>
      <x:name val="Arial"/>
    </x:font>
    <x:font>
      <x:b/>
      <x:sz val="16"/>
      <x:color rgb="FF233B53"/>
      <x:name val="Arial"/>
    </x:font>
    <x:font>
      <x:b/>
      <x:sz val="10"/>
      <x:color rgb="FF23313E"/>
      <x:name val="Arial"/>
    </x:font>
    <x:font>
      <x:sz val="11"/>
      <x:color rgb="FF23313E"/>
      <x:name val="Arial"/>
    </x:font>
    <x:font>
      <x:b/>
      <x:sz val="11"/>
      <x:color rgb="FF23313E"/>
      <x:name val="Arial"/>
    </x:font>
  </x:fonts>
  <x:fills count="5">
    <x:fill>
      <x:patternFill patternType="none"/>
    </x:fill>
    <x:fill>
      <x:patternFill patternType="gray125"/>
    </x:fill>
    <x:fill>
      <x:patternFill patternType="solid">
        <x:fgColor rgb="FF233B53"/>
      </x:patternFill>
    </x:fill>
    <x:fill>
      <x:patternFill patternType="solid">
        <x:fgColor rgb="FFFFF0C2"/>
      </x:patternFill>
    </x:fill>
    <x:fill>
      <x:patternFill patternType="solid">
        <x:fgColor rgb="FFDCE7EF"/>
      </x:patternFill>
    </x:fill>
  </x:fills>
  <x:borders count="2">
    <x:border/>
    <x:border>
      <x:bottom style="thin">
        <x:color rgb="FFAAB9C6"/>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0" fontId="0"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3" fillId="0" borderId="1" xfId="0" applyNumberFormat="1" applyFont="1" applyFill="1" applyBorder="1"/>
    <x:xf numFmtId="0" fontId="3" fillId="2" borderId="0" xfId="0" applyNumberFormat="1" applyFont="1" applyFill="1" applyBorder="1"/>
    <x:xf numFmtId="201" fontId="3" fillId="0" borderId="0" xfId="0" applyNumberFormat="1" applyFont="1" applyFill="1" applyBorder="1"/>
    <x:xf numFmtId="201" fontId="0" fillId="0" borderId="0" xfId="0" applyNumberFormat="1" applyFont="1" applyFill="1" applyBorder="1"/>
    <x:xf numFmtId="202" fontId="3" fillId="0" borderId="0" xfId="0" applyNumberFormat="1" applyFont="1" applyFill="1" applyBorder="1"/>
    <x:xf numFmtId="202" fontId="0" fillId="0" borderId="0" xfId="0" applyNumberFormat="1" applyFont="1" applyFill="1" applyBorder="1"/>
    <x:xf numFmtId="203" fontId="3" fillId="0" borderId="0" xfId="0" applyNumberFormat="1" applyFont="1" applyFill="1" applyBorder="1"/>
    <x:xf numFmtId="203" fontId="0" fillId="0" borderId="0" xfId="0" applyNumberFormat="1" applyFont="1" applyFill="1" applyBorder="1"/>
    <x:xf numFmtId="200" fontId="3" fillId="0" borderId="0" xfId="0" applyNumberFormat="1" applyFont="1" applyFill="1" applyBorder="1"/>
    <x:xf numFmtId="0" fontId="3" fillId="3" borderId="0" xfId="0" applyNumberFormat="1" applyFont="1" applyFill="1" applyBorder="1"/>
    <x:xf numFmtId="204" fontId="3" fillId="0" borderId="0" xfId="0" applyNumberFormat="1" applyFont="1" applyFill="1" applyBorder="1"/>
    <x:xf numFmtId="204" fontId="0" fillId="0" borderId="0" xfId="0" applyNumberFormat="1" applyFont="1" applyFill="1" applyBorder="1"/>
    <x:xf numFmtId="205" fontId="3" fillId="0" borderId="0" xfId="0" applyNumberFormat="1" applyFont="1" applyFill="1" applyBorder="1"/>
    <x:xf numFmtId="205" fontId="0" fillId="0" borderId="0" xfId="0" applyNumberFormat="1" applyFont="1" applyFill="1" applyBorder="1"/>
    <x:xf numFmtId="206" fontId="3" fillId="0" borderId="0" xfId="0" applyNumberFormat="1" applyFont="1" applyFill="1" applyBorder="1"/>
    <x:xf numFmtId="0" fontId="3" fillId="4" borderId="0" xfId="0" applyNumberFormat="1" applyFont="1" applyFill="1" applyBorder="1"/>
    <x:xf numFmtId="205" fontId="3" fillId="4" borderId="0" xfId="0" applyNumberFormat="1" applyFont="1" applyFill="1" applyBorder="1"/>
    <x:xf numFmtId="0" fontId="5" fillId="4" borderId="0" xfId="0" applyNumberFormat="1" applyFont="1" applyFill="1" applyBorder="1"/>
    <x:xf numFmtId="205" fontId="5" fillId="4" borderId="0" xfId="0" applyNumberFormat="1" applyFont="1" applyFill="1" applyBorder="1"/>
    <x:xf numFmtId="207" fontId="3"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7" fillId="0" borderId="0" xfId="0" applyNumberFormat="1" applyFont="1" applyFill="1" applyBorder="1" applyAlignment="1">
      <x:alignment wrapText="1"/>
    </x:xf>
    <x:xf numFmtId="0" fontId="6" fillId="3" borderId="0"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wrapText="0"/>
    </x:xf>
  </x:cellXfs>
  <x:cellStyles count="1">
    <x:cellStyle name="Normal" xfId="0"/>
  </x:cellStyles>
  <x:dxfs count="1">
    <x:dxf>
      <x:font>
        <x:color rgb="FF8A5700"/>
      </x:font>
      <x:fill>
        <x:patternFill patternType="solid">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e76498eb374a12" /><Relationship Type="http://schemas.openxmlformats.org/officeDocument/2006/relationships/theme" Target="/xl/theme/theme1.xml" Id="Rda8dbd862086446f" /><Relationship Type="http://schemas.openxmlformats.org/officeDocument/2006/relationships/sharedStrings" Target="/xl/sharedStrings.xml" Id="Rb018da07b16c4617" /><Relationship Type="http://schemas.openxmlformats.org/officeDocument/2006/relationships/worksheet" Target="/xl/worksheets/sheet1.xml" Id="R0910446418704c02" /><Relationship Type="http://schemas.openxmlformats.org/officeDocument/2006/relationships/worksheet" Target="/xl/worksheets/sheet2.xml" Id="Rf51ded7cc5a04fc4" /><Relationship Type="http://schemas.openxmlformats.org/officeDocument/2006/relationships/worksheet" Target="/xl/worksheets/sheet3.xml" Id="Re5507b4285024770" /><Relationship Type="http://schemas.openxmlformats.org/officeDocument/2006/relationships/worksheet" Target="/xl/worksheets/sheet4.xml" Id="R153d84917d45409f" /><Relationship Type="http://schemas.openxmlformats.org/officeDocument/2006/relationships/worksheet" Target="/xl/worksheets/sheet5.xml" Id="R7ed9d15b9bc04e91" /><Relationship Type="http://schemas.openxmlformats.org/officeDocument/2006/relationships/worksheet" Target="/xl/worksheets/sheet6.xml" Id="Rb94bab9b59b44b16" /><Relationship Type="http://schemas.openxmlformats.org/officeDocument/2006/relationships/worksheet" Target="/xl/worksheets/sheet7.xml" Id="R12c159cad4a84ca8" /></Relationships>
</file>

<file path=xl/drawings/_rels/drawing1.xml.rels>&#65279;<?xml version="1.0" encoding="utf-8"?><Relationships xmlns="http://schemas.openxmlformats.org/package/2006/relationships"><Relationship Type="http://schemas.openxmlformats.org/officeDocument/2006/relationships/chart" Target="/xl/drawings/charts/chart1.xml" Id="R978c55a6d9b64d2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Same-day repeat rate — latest 3 months</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Repeat rate</c:v>
          </c:tx>
          <c:spPr>
            <a:ln xmlns:a="http://schemas.openxmlformats.org/drawingml/2006/main" w="19050">
              <a:solidFill>
                <a:srgbClr val="356B91"/>
              </a:solidFill>
              <a:prstDash val="solid"/>
            </a:ln>
          </c:spPr>
          <c:marker>
            <c:symbol val="none"/>
          </c:marker>
          <c:cat>
            <c:strRef>
              <c:f>'Dashboard'!$M$3:$M$5</c:f>
              <c:strCache>
                <c:ptCount val="0"/>
              </c:strCache>
            </c:strRef>
          </c:cat>
          <c:val>
            <c:numRef>
              <c:f>'Dashboard'!$N$3:$N$5</c:f>
              <c:numCache>
                <c:formatCode>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11</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78c55a6d9b64d23"/>
        </a:graphicData>
      </a:graphic>
    </xdr:graphicFrame>
    <xdr:clientData/>
  </xdr:twoCellAnchor>
</xdr:wsDr>
</file>

<file path=xl/tables/table1.xml><?xml version="1.0" encoding="utf-8"?>
<x:table xmlns:x="http://schemas.openxmlformats.org/spreadsheetml/2006/main" id="1" name="RawCalls" displayName="RawCalls" ref="A1:H2" headerRowCount="1" totalsRowCount="0" totalsRowShown="0">
  <x:tableColumns count="8">
    <x:tableColumn id="1" name="CALL ID"/>
    <x:tableColumn id="2" name="DATE"/>
    <x:tableColumn id="3" name="TIMESTAMP"/>
    <x:tableColumn id="4" name="SKILL"/>
    <x:tableColumn id="5" name="IVA.fromIVA"/>
    <x:tableColumn id="6" name="Routing.IVR Menu"/>
    <x:tableColumn id="7" name="Routing.Transfer Path"/>
    <x:tableColumn id="8" name="LoanNumber"/>
  </x:tableColumns>
  <x:tableStyleInfo name="TableStyleMedium2" showFirstColumn="0" showLastColumn="0" showRowStripes="1" showColumnStripes="0"/>
</x:table>
</file>

<file path=xl/tables/table2.xml><?xml version="1.0" encoding="utf-8"?>
<x:table xmlns:x="http://schemas.openxmlformats.org/spreadsheetml/2006/main" id="2" name="TopicRules" displayName="TopicRules" ref="A6:B21" headerRowCount="1" totalsRowCount="0" totalsRowShown="0">
  <x:tableColumns count="2">
    <x:tableColumn id="1" name="Category"/>
    <x:tableColumn id="2" name="Keyword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5f8f42f0ca24785" /></Relationships>
</file>

<file path=xl/worksheets/_rels/sheet5.xml.rels>&#65279;<?xml version="1.0" encoding="utf-8"?><Relationships xmlns="http://schemas.openxmlformats.org/package/2006/relationships"><Relationship Type="http://schemas.openxmlformats.org/officeDocument/2006/relationships/table" Target="/xl/tables/table1.xml" Id="R42b1b7ded7b24a46" /></Relationships>
</file>

<file path=xl/worksheets/_rels/sheet6.xml.rels>&#65279;<?xml version="1.0" encoding="utf-8"?><Relationships xmlns="http://schemas.openxmlformats.org/package/2006/relationships"><Relationship Type="http://schemas.openxmlformats.org/officeDocument/2006/relationships/table" Target="/xl/tables/table2.xml" Id="R61aba23dc4ad4b62" /></Relationships>
</file>

<file path=xl/worksheets/sheet1.xml><?xml version="1.0" encoding="utf-8"?>
<x:worksheet xmlns:x="http://schemas.openxmlformats.org/spreadsheetml/2006/main">
  <x:sheetPr>
    <x:tabColor rgb="FF233B53"/>
  </x:sheetPr>
  <x:sheetViews>
    <x:sheetView showGridLines="0" workbookViewId="0"/>
  </x:sheetViews>
  <x:sheetFormatPr defaultRowHeight="15"/>
  <x:cols>
    <x:col min="1" max="1" width="43" hidden="0" customWidth="1"/>
    <x:col min="2" max="2" width="20" hidden="0" customWidth="1"/>
    <x:col min="3" max="3" width="4" hidden="0" customWidth="1"/>
    <x:col min="4" max="4" width="22" hidden="0" customWidth="1"/>
    <x:col min="5" max="5" width="20" hidden="0" customWidth="1"/>
    <x:col min="6" max="6" width="20" hidden="0" customWidth="1"/>
    <x:col min="7" max="7" width="20" hidden="0" customWidth="1"/>
    <x:col min="8" max="8" width="12" hidden="0" customWidth="1"/>
    <x:col min="9" max="9" width="12" hidden="0" customWidth="1"/>
    <x:col min="10" max="10" width="12" hidden="0" customWidth="1"/>
    <x:col min="11" max="11" width="12" hidden="0" customWidth="1"/>
  </x:cols>
  <x:sheetData>
    <x:row r="1" ht="22" customHeight="1">
      <x:c r="A1" s="7"/>
      <x:c r="B1" s="7"/>
      <x:c r="C1" s="7"/>
      <x:c r="D1" s="7"/>
      <x:c r="E1" s="7"/>
      <x:c r="F1" s="7"/>
      <x:c r="G1" s="7"/>
      <x:c r="H1" s="7"/>
      <x:c r="I1" s="7"/>
      <x:c r="J1" s="7"/>
      <x:c r="K1" s="7"/>
    </x:row>
    <x:row r="2" ht="22" customHeight="1">
      <x:c r="A2" s="8" t="str">
        <x:v>Inbound call repeat analysis</x:v>
      </x:c>
      <x:c r="B2" s="7"/>
      <x:c r="C2" s="7"/>
      <x:c r="D2" s="7"/>
      <x:c r="E2" s="7"/>
      <x:c r="F2" s="7"/>
      <x:c r="G2" s="7"/>
      <x:c r="H2" s="7"/>
      <x:c r="I2" s="7"/>
      <x:c r="J2" s="7"/>
      <x:c r="K2" s="7"/>
      <x:c r="M2" t="str">
        <x:v>Chart month</x:v>
      </x:c>
      <x:c r="N2" t="str">
        <x:v>Repeat rate</x:v>
      </x:c>
    </x:row>
    <x:row r="3" ht="22" customHeight="1">
      <x:c r="A3" s="9"/>
      <x:c r="B3" s="9"/>
      <x:c r="C3" s="9"/>
      <x:c r="D3" s="9"/>
      <x:c r="E3" s="9"/>
      <x:c r="F3" s="9"/>
      <x:c r="G3" s="9"/>
      <x:c r="H3" s="9"/>
      <x:c r="I3" s="9"/>
      <x:c r="J3" s="9"/>
      <x:c r="K3" s="9"/>
      <x:c r="M3" t="str">
        <x:f>IF(D7="","",TEXT(D7,"mmm yyyy"))</x:f>
        <x:v>Jul 2026</x:v>
      </x:c>
      <x:c r="N3" s="22" t="n">
        <x:f>G7</x:f>
        <x:v>0.2049404795171296</x:v>
      </x:c>
    </x:row>
    <x:row r="4" ht="22" customHeight="1">
      <x:c r="A4" s="6" t="str">
        <x:v>First use: paste data and read Setup.</x:v>
      </x:c>
      <x:c r="B4" s="7"/>
      <x:c r="C4" s="7"/>
      <x:c r="D4" s="7"/>
      <x:c r="E4" s="7"/>
      <x:c r="F4" s="7"/>
      <x:c r="G4" s="7"/>
      <x:c r="H4" s="7"/>
      <x:c r="I4" s="7"/>
      <x:c r="J4" s="7"/>
      <x:c r="K4" s="7"/>
      <x:c r="M4" t="str">
        <x:f>IF(D8="","",TEXT(D8,"mmm yyyy"))</x:f>
        <x:v>Aug 2026</x:v>
      </x:c>
      <x:c r="N4" s="22" t="n">
        <x:f>G8</x:f>
        <x:v>0.19440491110308644</x:v>
      </x:c>
    </x:row>
    <x:row r="5" ht="22" customHeight="1">
      <x:c r="A5" s="7" t="str">
        <x:f>IF(AND(COUNTIF('Repeat Detail'!$A$6:$A$1005,"Quality")=21,COUNTIF('Repeat Detail'!$A$6:$A$1005,"Menu")=12,COUNTIF('Repeat Detail'!$A$6:$A$1005,"Daily")=SUMIFS('Repeat Detail'!$O$6:$O$1005,'Repeat Detail'!$A$6:$A$1005,"Quality",'Repeat Detail'!$H$6:$H$1005,"Date span")),"Refresh after data or rule changes.","Refresh required: results incomplete.")</x:f>
        <x:v>Refresh after data or rule changes.</x:v>
      </x:c>
      <x:c r="B5" s="7"/>
      <x:c r="C5" s="7"/>
      <x:c r="D5" s="7"/>
      <x:c r="E5" s="7"/>
      <x:c r="F5" s="7"/>
      <x:c r="G5" s="7"/>
      <x:c r="H5" s="7"/>
      <x:c r="I5" s="7"/>
      <x:c r="J5" s="7"/>
      <x:c r="K5" s="7"/>
      <x:c r="M5" t="str">
        <x:f>IF(D9="","",TEXT(D9,"mmm yyyy"))</x:f>
        <x:v>Sep 2026</x:v>
      </x:c>
      <x:c r="N5" s="22" t="n">
        <x:f>G9</x:f>
        <x:v>0.17720742470415957</x:v>
      </x:c>
    </x:row>
    <x:row r="6" ht="34" customHeight="1">
      <x:c r="A6" s="4" t="str">
        <x:v>Metric</x:v>
      </x:c>
      <x:c r="B6" s="4" t="str">
        <x:v>Saved results</x:v>
      </x:c>
      <x:c r="C6" s="7"/>
      <x:c r="D6" s="4" t="str">
        <x:v>Latest 3 months</x:v>
      </x:c>
      <x:c r="E6" s="4" t="str">
        <x:v>Unique loan-days</x:v>
      </x:c>
      <x:c r="F6" s="4" t="str">
        <x:v>Repeat loan-days</x:v>
      </x:c>
      <x:c r="G6" s="4" t="str">
        <x:v>Repeat rate</x:v>
      </x:c>
      <x:c r="H6" s="7"/>
      <x:c r="I6" s="7"/>
      <x:c r="J6" s="7"/>
      <x:c r="K6" s="7"/>
    </x:row>
    <x:row r="7" ht="22" customHeight="1">
      <x:c r="A7" s="7" t="str">
        <x:v>Period starts</x:v>
      </x:c>
      <x:c r="B7" s="23" t="n">
        <x:f>IF(IF(AND(COUNTIF('Repeat Detail'!$A$6:$A$1005,"Quality")=21,COUNTIF('Repeat Detail'!$A$6:$A$1005,"Menu")=12,COUNTIF('Repeat Detail'!$A$6:$A$1005,"Daily")=SUMIFS('Repeat Detail'!$O$6:$O$1005,'Repeat Detail'!$A$6:$A$1005,"Quality",'Repeat Detail'!$H$6:$H$1005,"Date span")),SUMIFS('Repeat Detail'!$O$6:$O$1005,'Repeat Detail'!$A$6:$A$1005,"Quality",'Repeat Detail'!$H$6:$H$1005,"Date span"),NA())=0,"n.a.",IF(AND(COUNTIF('Repeat Detail'!$A$6:$A$1005,"Quality")=21,COUNTIF('Repeat Detail'!$A$6:$A$1005,"Menu")=12,COUNTIF('Repeat Detail'!$A$6:$A$1005,"Daily")=SUMIFS('Repeat Detail'!$O$6:$O$1005,'Repeat Detail'!$A$6:$A$1005,"Quality",'Repeat Detail'!$H$6:$H$1005,"Date span")),SUMIFS('Repeat Detail'!$O$6:$O$1005,'Repeat Detail'!$A$6:$A$1005,"Quality",'Repeat Detail'!$H$6:$H$1005,"First date"),NA()))</x:f>
        <x:v>46221</x:v>
      </x:c>
      <x:c r="C7" s="7"/>
      <x:c r="D7" s="28" t="n">
        <x:f>IF(IF(AND(COUNTIF('Repeat Detail'!$A$6:$A$1005,"Quality")=21,COUNTIF('Repeat Detail'!$A$6:$A$1005,"Menu")=12,COUNTIF('Repeat Detail'!$A$6:$A$1005,"Daily")=SUMIFS('Repeat Detail'!$O$6:$O$1005,'Repeat Detail'!$A$6:$A$1005,"Quality",'Repeat Detail'!$H$6:$H$1005,"Date span")),SUMIFS('Repeat Detail'!$O$6:$O$1005,'Repeat Detail'!$A$6:$A$1005,"Quality",'Repeat Detail'!$H$6:$H$1005,"Date span"),NA())=0,"",DATE(YEAR($B$8),MONTH($B$8)-2,1))</x:f>
        <x:v>46204</x:v>
      </x:c>
      <x:c r="E7" s="19" t="n">
        <x:f>IF(D7="","",SUMIFS('Daily Analysis'!$D$7:$D$372,'Daily Analysis'!$A$7:$A$372,"&gt;="&amp;D7,'Daily Analysis'!$A$7:$A$372,"&lt;"&amp;DATE(YEAR(D7),MONTH(D7)+1,1)))</x:f>
        <x:v>35786</x:v>
      </x:c>
      <x:c r="F7" s="19" t="n">
        <x:f>IF(D7="","",SUMIFS('Daily Analysis'!$E$7:$E$372,'Daily Analysis'!$A$7:$A$372,"&gt;="&amp;D7,'Daily Analysis'!$A$7:$A$372,"&lt;"&amp;DATE(YEAR(D7),MONTH(D7)+1,1)))</x:f>
        <x:v>7334</x:v>
      </x:c>
      <x:c r="G7" s="21" t="n">
        <x:f>IF(D7="","",IF(E7=0,"",F7/E7))</x:f>
        <x:v>0.2049404795171296</x:v>
      </x:c>
      <x:c r="H7" s="7"/>
      <x:c r="I7" s="7"/>
      <x:c r="J7" s="7"/>
      <x:c r="K7" s="7"/>
    </x:row>
    <x:row r="8" ht="22" customHeight="1">
      <x:c r="A8" s="7" t="str">
        <x:v>Period ends</x:v>
      </x:c>
      <x:c r="B8" s="23" t="n">
        <x:f>IF(IF(AND(COUNTIF('Repeat Detail'!$A$6:$A$1005,"Quality")=21,COUNTIF('Repeat Detail'!$A$6:$A$1005,"Menu")=12,COUNTIF('Repeat Detail'!$A$6:$A$1005,"Daily")=SUMIFS('Repeat Detail'!$O$6:$O$1005,'Repeat Detail'!$A$6:$A$1005,"Quality",'Repeat Detail'!$H$6:$H$1005,"Date span")),SUMIFS('Repeat Detail'!$O$6:$O$1005,'Repeat Detail'!$A$6:$A$1005,"Quality",'Repeat Detail'!$H$6:$H$1005,"Date span"),NA())=0,"n.a.",IF(AND(COUNTIF('Repeat Detail'!$A$6:$A$1005,"Quality")=21,COUNTIF('Repeat Detail'!$A$6:$A$1005,"Menu")=12,COUNTIF('Repeat Detail'!$A$6:$A$1005,"Daily")=SUMIFS('Repeat Detail'!$O$6:$O$1005,'Repeat Detail'!$A$6:$A$1005,"Quality",'Repeat Detail'!$H$6:$H$1005,"Date span")),SUMIFS('Repeat Detail'!$O$6:$O$1005,'Repeat Detail'!$A$6:$A$1005,"Quality",'Repeat Detail'!$H$6:$H$1005,"Last date"),NA()))</x:f>
        <x:v>46280</x:v>
      </x:c>
      <x:c r="C8" s="7"/>
      <x:c r="D8" s="28" t="n">
        <x:f>IF(IF(AND(COUNTIF('Repeat Detail'!$A$6:$A$1005,"Quality")=21,COUNTIF('Repeat Detail'!$A$6:$A$1005,"Menu")=12,COUNTIF('Repeat Detail'!$A$6:$A$1005,"Daily")=SUMIFS('Repeat Detail'!$O$6:$O$1005,'Repeat Detail'!$A$6:$A$1005,"Quality",'Repeat Detail'!$H$6:$H$1005,"Date span")),SUMIFS('Repeat Detail'!$O$6:$O$1005,'Repeat Detail'!$A$6:$A$1005,"Quality",'Repeat Detail'!$H$6:$H$1005,"Date span"),NA())=0,"",DATE(YEAR($B$8),MONTH($B$8)-1,1))</x:f>
        <x:v>46235</x:v>
      </x:c>
      <x:c r="E8" s="19" t="n">
        <x:f>IF(D8="","",SUMIFS('Daily Analysis'!$D$7:$D$372,'Daily Analysis'!$A$7:$A$372,"&gt;="&amp;D8,'Daily Analysis'!$A$7:$A$372,"&lt;"&amp;DATE(YEAR(D8),MONTH(D8)+1,1)))</x:f>
        <x:v>94154</x:v>
      </x:c>
      <x:c r="F8" s="19" t="n">
        <x:f>IF(D8="","",SUMIFS('Daily Analysis'!$E$7:$E$372,'Daily Analysis'!$A$7:$A$372,"&gt;="&amp;D8,'Daily Analysis'!$A$7:$A$372,"&lt;"&amp;DATE(YEAR(D8),MONTH(D8)+1,1)))</x:f>
        <x:v>18304</x:v>
      </x:c>
      <x:c r="G8" s="21" t="n">
        <x:f>IF(D8="","",IF(E8=0,"",F8/E8))</x:f>
        <x:v>0.19440491110308644</x:v>
      </x:c>
      <x:c r="H8" s="7"/>
      <x:c r="I8" s="7"/>
      <x:c r="J8" s="7"/>
      <x:c r="K8" s="7"/>
    </x:row>
    <x:row r="9" ht="22" customHeight="1">
      <x:c r="A9" s="7" t="str">
        <x:v>Total calls with valid dates</x:v>
      </x:c>
      <x:c r="B9" s="19" t="n">
        <x: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263617</x:v>
      </x:c>
      <x:c r="C9" s="7"/>
      <x:c r="D9" s="28" t="n">
        <x:f>IF(IF(AND(COUNTIF('Repeat Detail'!$A$6:$A$1005,"Quality")=21,COUNTIF('Repeat Detail'!$A$6:$A$1005,"Menu")=12,COUNTIF('Repeat Detail'!$A$6:$A$1005,"Daily")=SUMIFS('Repeat Detail'!$O$6:$O$1005,'Repeat Detail'!$A$6:$A$1005,"Quality",'Repeat Detail'!$H$6:$H$1005,"Date span")),SUMIFS('Repeat Detail'!$O$6:$O$1005,'Repeat Detail'!$A$6:$A$1005,"Quality",'Repeat Detail'!$H$6:$H$1005,"Date span"),NA())=0,"",DATE(YEAR($B$8),MONTH($B$8)-0,1))</x:f>
        <x:v>46266</x:v>
      </x:c>
      <x:c r="E9" s="19" t="n">
        <x:f>IF(D9="","",SUMIFS('Daily Analysis'!$D$7:$D$372,'Daily Analysis'!$A$7:$A$372,"&gt;="&amp;D9,'Daily Analysis'!$A$7:$A$372,"&lt;"&amp;DATE(YEAR(D9),MONTH(D9)+1,1)))</x:f>
        <x:v>50534</x:v>
      </x:c>
      <x:c r="F9" s="19" t="n">
        <x:f>IF(D9="","",SUMIFS('Daily Analysis'!$E$7:$E$372,'Daily Analysis'!$A$7:$A$372,"&gt;="&amp;D9,'Daily Analysis'!$A$7:$A$372,"&lt;"&amp;DATE(YEAR(D9),MONTH(D9)+1,1)))</x:f>
        <x:v>8955</x:v>
      </x:c>
      <x:c r="G9" s="21" t="n">
        <x:f>IF(D9="","",IF(E9=0,"",F9/E9))</x:f>
        <x:v>0.17720742470415957</x:v>
      </x:c>
      <x:c r="H9" s="7"/>
      <x:c r="I9" s="7"/>
      <x:c r="J9" s="7"/>
      <x:c r="K9" s="7"/>
    </x:row>
    <x:row r="10" ht="22" customHeight="1">
      <x:c r="A10" s="7" t="str">
        <x:v>Calls with usable loan numbers</x:v>
      </x:c>
      <x:c r="B10" s="19" t="n">
        <x:f>IF(AND(COUNTIF('Repeat Detail'!$A$6:$A$1005,"Quality")=21,COUNTIF('Repeat Detail'!$A$6:$A$1005,"Menu")=12,COUNTIF('Repeat Detail'!$A$6:$A$1005,"Daily")=SUMIFS('Repeat Detail'!$O$6:$O$1005,'Repeat Detail'!$A$6:$A$1005,"Quality",'Repeat Detail'!$H$6:$H$1005,"Date span")),SUMIFS('Repeat Detail'!$O$6:$O$1005,'Repeat Detail'!$A$6:$A$1005,"Quality",'Repeat Detail'!$H$6:$H$1005,"Identifiable calls"),NA())</x:f>
        <x:v>228146</x:v>
      </x:c>
      <x:c r="C10" s="7"/>
      <x:c r="D10" s="7"/>
      <x:c r="E10" s="7"/>
      <x:c r="F10" s="7"/>
      <x:c r="G10" s="7"/>
      <x:c r="H10" s="7"/>
      <x:c r="I10" s="7"/>
      <x:c r="J10" s="7"/>
      <x:c r="K10" s="7"/>
    </x:row>
    <x:row r="11" ht="22" customHeight="1">
      <x:c r="A11" s="7" t="str">
        <x:v>Daily unique loans, summed</x:v>
      </x:c>
      <x:c r="B11" s="19" t="n">
        <x:f>SUM('Daily Analysis'!D7:D372)</x:f>
        <x:v>180474</x:v>
      </x:c>
      <x:c r="C11" s="7"/>
      <x:c r="D11" s="6" t="str">
        <x:v>Partial months reflect only the dates in the loaded export.</x:v>
      </x:c>
      <x:c r="E11" s="7"/>
      <x:c r="F11" s="7"/>
      <x:c r="G11" s="7"/>
      <x:c r="H11" s="7"/>
      <x:c r="I11" s="7"/>
      <x:c r="J11" s="7"/>
      <x:c r="K11" s="7"/>
    </x:row>
    <x:row r="12" ht="22" customHeight="1">
      <x:c r="A12" s="7" t="str">
        <x:v>Daily repeat loans, summed</x:v>
      </x:c>
      <x:c r="B12" s="19" t="n">
        <x:f>SUM('Daily Analysis'!E7:E372)</x:f>
        <x:v>34593</x:v>
      </x:c>
      <x:c r="C12" s="7"/>
      <x:c r="D12" s="7"/>
      <x:c r="E12" s="7"/>
      <x:c r="F12" s="7"/>
      <x:c r="G12" s="7"/>
      <x:c r="H12" s="7"/>
      <x:c r="I12" s="7"/>
      <x:c r="J12" s="7"/>
      <x:c r="K12" s="7"/>
    </x:row>
    <x:row r="13" ht="22" customHeight="1">
      <x:c r="A13" s="26" t="str">
        <x:v>Same-day repeat rate</x:v>
      </x:c>
      <x:c r="B13" s="27" t="n">
        <x:f>IF(B11=0,"n.a.",B12/B11)</x:f>
        <x:v>0.19167857974001795</x:v>
      </x:c>
      <x:c r="C13" s="7"/>
      <x:c r="D13" s="7"/>
      <x:c r="E13" s="7"/>
      <x:c r="F13" s="7"/>
      <x:c r="G13" s="7"/>
      <x:c r="H13" s="7"/>
      <x:c r="I13" s="7"/>
      <x:c r="J13" s="7"/>
      <x:c r="K13" s="7"/>
    </x:row>
    <x:row r="14" ht="22" customHeight="1">
      <x:c r="A14" s="7" t="str">
        <x:v>Additional calls</x:v>
      </x:c>
      <x:c r="B14" s="19" t="n">
        <x: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47672</x:v>
      </x:c>
      <x:c r="C14" s="7"/>
      <x:c r="D14" s="7"/>
      <x:c r="E14" s="7"/>
      <x:c r="F14" s="7"/>
      <x:c r="G14" s="7"/>
      <x:c r="H14" s="7"/>
      <x:c r="I14" s="7"/>
      <x:c r="J14" s="7"/>
      <x:c r="K14" s="7"/>
    </x:row>
    <x:row r="15" ht="22" customHeight="1">
      <x:c r="A15" s="7" t="str">
        <x:v>Additional / identifiable calls</x:v>
      </x:c>
      <x:c r="B15" s="21" t="n">
        <x:f>IF(B10=0,"n.a.",B14/B10)</x:f>
        <x:v>0.20895391547517816</x:v>
      </x:c>
      <x:c r="C15" s="7"/>
      <x:c r="D15" s="7"/>
      <x:c r="E15" s="7"/>
      <x:c r="F15" s="7"/>
      <x:c r="G15" s="7"/>
      <x:c r="H15" s="7"/>
      <x:c r="I15" s="7"/>
      <x:c r="J15" s="7"/>
      <x:c r="K15" s="7"/>
    </x:row>
    <x:row r="16" ht="22" customHeight="1">
      <x:c r="A16" s="7" t="str">
        <x:v>Calls from repeat loans</x:v>
      </x:c>
      <x:c r="B16" s="19" t="n">
        <x:f>SUM('Daily Analysis'!I7:I372)</x:f>
        <x:v>82265</x:v>
      </x:c>
      <x:c r="C16" s="7"/>
      <x:c r="D16" s="7"/>
      <x:c r="E16" s="7"/>
      <x:c r="F16" s="7"/>
      <x:c r="G16" s="7"/>
      <x:c r="H16" s="7"/>
      <x:c r="I16" s="7"/>
      <x:c r="J16" s="7"/>
      <x:c r="K16" s="7"/>
    </x:row>
    <x:row r="17" ht="22" customHeight="1">
      <x:c r="A17" s="7" t="str">
        <x:v>Repeat calls with utterances</x:v>
      </x:c>
      <x:c r="B17" s="19" t="n">
        <x:f>IF(AND(COUNTIF('Repeat Detail'!$A$6:$A$1005,"Quality")=21,COUNTIF('Repeat Detail'!$A$6:$A$1005,"Menu")=12,COUNTIF('Repeat Detail'!$A$6:$A$1005,"Daily")=SUMIFS('Repeat Detail'!$O$6:$O$1005,'Repeat Detail'!$A$6:$A$1005,"Quality",'Repeat Detail'!$H$6:$H$1005,"Date span")),SUMIFS('Repeat Detail'!$O$6:$O$1005,'Repeat Detail'!$A$6:$A$1005,"Quality",'Repeat Detail'!$H$6:$H$1005,"Repeat calls with utterances"),NA())</x:f>
        <x:v>16005</x:v>
      </x:c>
      <x:c r="C17" s="7"/>
      <x:c r="D17" s="7"/>
      <x:c r="E17" s="7"/>
      <x:c r="F17" s="7"/>
      <x:c r="G17" s="7"/>
      <x:c r="H17" s="7"/>
      <x:c r="I17" s="7"/>
      <x:c r="J17" s="7"/>
      <x:c r="K17" s="7"/>
    </x:row>
    <x:row r="18" ht="22" customHeight="1">
      <x:c r="A18" s="7" t="str">
        <x:v>Repeat utterance coverage</x:v>
      </x:c>
      <x:c r="B18" s="21" t="n">
        <x:f>IF(B14=0,"n.a.",B17/B14)</x:f>
        <x:v>0.33573166638697766</x:v>
      </x:c>
      <x:c r="C18" s="7"/>
      <x:c r="D18" s="7"/>
      <x:c r="E18" s="7"/>
      <x:c r="F18" s="7"/>
      <x:c r="G18" s="7"/>
      <x:c r="H18" s="7"/>
      <x:c r="I18" s="7"/>
      <x:c r="J18" s="7"/>
      <x:c r="K18" s="7"/>
    </x:row>
    <x:row r="19" ht="22" customHeight="1">
      <x:c r="A19" s="7" t="str">
        <x:v>Gaps within 5 minutes</x:v>
      </x:c>
      <x:c r="B19" s="21" t="n">
        <x:f>IF(IF(AND(COUNTIF('Repeat Detail'!$A$6:$A$1005,"Quality")=21,COUNTIF('Repeat Detail'!$A$6:$A$1005,"Menu")=12,COUNTIF('Repeat Detail'!$A$6:$A$1005,"Daily")=SUMIFS('Repeat Detail'!$O$6:$O$1005,'Repeat Detail'!$A$6:$A$1005,"Quality",'Repeat Detail'!$H$6:$H$1005,"Date span")),SUMIFS('Repeat Detail'!$O$6:$O$1005,'Repeat Detail'!$A$6:$A$1005,"Quality",'Repeat Detail'!$H$6:$H$1005,"Repeat calls with valid gaps"),NA())=0,"n.a.",IF(AND(COUNTIF('Repeat Detail'!$A$6:$A$1005,"Quality")=21,COUNTIF('Repeat Detail'!$A$6:$A$1005,"Menu")=12,COUNTIF('Repeat Detail'!$A$6:$A$1005,"Daily")=SUMIFS('Repeat Detail'!$O$6:$O$1005,'Repeat Detail'!$A$6:$A$1005,"Quality",'Repeat Detail'!$H$6:$H$1005,"Date span")),SUMIFS('Repeat Detail'!$O$6:$O$1005,'Repeat Detail'!$A$6:$A$1005,"Quality",'Repeat Detail'!$H$6:$H$1005,"Repeat gaps within 5 minutes"),NA())/IF(AND(COUNTIF('Repeat Detail'!$A$6:$A$1005,"Quality")=21,COUNTIF('Repeat Detail'!$A$6:$A$1005,"Menu")=12,COUNTIF('Repeat Detail'!$A$6:$A$1005,"Daily")=SUMIFS('Repeat Detail'!$O$6:$O$1005,'Repeat Detail'!$A$6:$A$1005,"Quality",'Repeat Detail'!$H$6:$H$1005,"Date span")),SUMIFS('Repeat Detail'!$O$6:$O$1005,'Repeat Detail'!$A$6:$A$1005,"Quality",'Repeat Detail'!$H$6:$H$1005,"Repeat calls with valid gaps"),NA()))</x:f>
        <x:v>0.5024752475247525</x:v>
      </x:c>
      <x:c r="C19" s="7"/>
      <x:c r="D19" s="7"/>
      <x:c r="E19" s="7"/>
      <x:c r="F19" s="7"/>
      <x:c r="G19" s="7"/>
      <x:c r="H19" s="7"/>
      <x:c r="I19" s="7"/>
      <x:c r="J19" s="7"/>
      <x:c r="K19" s="7"/>
    </x:row>
    <x:row r="20" ht="22" customHeight="1">
      <x:c r="A20" s="7" t="str">
        <x:v>Median gap, minutes</x:v>
      </x:c>
      <x:c r="B20" s="15" t="n">
        <x:f>IF(IF(AND(COUNTIF('Repeat Detail'!$A$6:$A$1005,"Quality")=21,COUNTIF('Repeat Detail'!$A$6:$A$1005,"Menu")=12,COUNTIF('Repeat Detail'!$A$6:$A$1005,"Daily")=SUMIFS('Repeat Detail'!$O$6:$O$1005,'Repeat Detail'!$A$6:$A$1005,"Quality",'Repeat Detail'!$H$6:$H$1005,"Date span")),SUMIFS('Repeat Detail'!$O$6:$O$1005,'Repeat Detail'!$A$6:$A$1005,"Quality",'Repeat Detail'!$H$6:$H$1005,"Repeat calls with valid gaps"),NA())=0,"n.a.",IF(AND(COUNTIF('Repeat Detail'!$A$6:$A$1005,"Quality")=21,COUNTIF('Repeat Detail'!$A$6:$A$1005,"Menu")=12,COUNTIF('Repeat Detail'!$A$6:$A$1005,"Daily")=SUMIFS('Repeat Detail'!$O$6:$O$1005,'Repeat Detail'!$A$6:$A$1005,"Quality",'Repeat Detail'!$H$6:$H$1005,"Date span")),SUMIFS('Repeat Detail'!$O$6:$O$1005,'Repeat Detail'!$A$6:$A$1005,"Quality",'Repeat Detail'!$H$6:$H$1005,"Median gap minutes"),NA()))</x:f>
        <x:v>4.966666666666667</x:v>
      </x:c>
      <x:c r="C20" s="7"/>
      <x:c r="D20" s="7"/>
      <x:c r="E20" s="7"/>
      <x:c r="F20" s="7"/>
      <x:c r="G20" s="7"/>
      <x:c r="H20" s="7"/>
      <x:c r="I20" s="7"/>
      <x:c r="J20" s="7"/>
      <x:c r="K20" s="7"/>
    </x:row>
    <x:row r="21" ht="22" customHeight="1">
      <x:c r="A21" s="7"/>
      <x:c r="B21" s="7"/>
      <x:c r="C21" s="7"/>
      <x:c r="D21" s="7"/>
      <x:c r="E21" s="7"/>
      <x:c r="F21" s="7"/>
      <x:c r="G21" s="7"/>
      <x:c r="H21" s="7"/>
      <x:c r="I21" s="7"/>
      <x:c r="J21" s="7"/>
      <x:c r="K21" s="7"/>
    </x:row>
    <x:row r="22" ht="22" customHeight="1">
      <x:c r="A22" s="7"/>
      <x:c r="B22" s="7"/>
      <x:c r="C22" s="7"/>
      <x:c r="D22" s="7"/>
      <x:c r="E22" s="7"/>
      <x:c r="F22" s="7"/>
      <x:c r="G22" s="7"/>
      <x:c r="H22" s="7"/>
      <x:c r="I22" s="7"/>
      <x:c r="J22" s="7"/>
      <x:c r="K22" s="7"/>
    </x:row>
    <x:row r="23" ht="34" customHeight="1">
      <x:c r="A23" s="4" t="str">
        <x:v>Data quality and timing</x:v>
      </x:c>
      <x:c r="B23" s="4" t="str">
        <x:v>Count</x:v>
      </x:c>
      <x:c r="C23" s="7"/>
      <x:c r="D23" s="7"/>
      <x:c r="E23" s="7"/>
      <x:c r="F23" s="7"/>
      <x:c r="G23" s="7"/>
      <x:c r="H23" s="7"/>
      <x:c r="I23" s="7"/>
      <x:c r="J23" s="7"/>
      <x:c r="K23" s="7"/>
    </x:row>
    <x:row r="24" ht="22" customHeight="1">
      <x:c r="A24" s="7" t="str">
        <x:v>Loaded rows</x:v>
      </x:c>
      <x:c r="B24" s="19" t="n">
        <x:f>IF(AND(COUNTIF('Repeat Detail'!$A$6:$A$1005,"Quality")=21,COUNTIF('Repeat Detail'!$A$6:$A$1005,"Menu")=12,COUNTIF('Repeat Detail'!$A$6:$A$1005,"Daily")=SUMIFS('Repeat Detail'!$O$6:$O$1005,'Repeat Detail'!$A$6:$A$1005,"Quality",'Repeat Detail'!$H$6:$H$1005,"Date span")),SUMIFS('Repeat Detail'!$O$6:$O$1005,'Repeat Detail'!$A$6:$A$1005,"Quality",'Repeat Detail'!$H$6:$H$1005,"Loaded rows"),NA())</x:f>
        <x:v>263617</x:v>
      </x:c>
      <x:c r="C24" s="7"/>
      <x:c r="D24" s="7"/>
      <x:c r="E24" s="7"/>
      <x:c r="F24" s="7"/>
      <x:c r="G24" s="7"/>
      <x:c r="H24" s="7"/>
      <x:c r="I24" s="7"/>
      <x:c r="J24" s="7"/>
      <x:c r="K24" s="7"/>
    </x:row>
    <x:row r="25" ht="22" customHeight="1">
      <x:c r="A25" s="7" t="str">
        <x:v>Missing call IDs</x:v>
      </x:c>
      <x:c r="B25" s="19" t="n">
        <x:f>IF(AND(COUNTIF('Repeat Detail'!$A$6:$A$1005,"Quality")=21,COUNTIF('Repeat Detail'!$A$6:$A$1005,"Menu")=12,COUNTIF('Repeat Detail'!$A$6:$A$1005,"Daily")=SUMIFS('Repeat Detail'!$O$6:$O$1005,'Repeat Detail'!$A$6:$A$1005,"Quality",'Repeat Detail'!$H$6:$H$1005,"Date span")),SUMIFS('Repeat Detail'!$O$6:$O$1005,'Repeat Detail'!$A$6:$A$1005,"Quality",'Repeat Detail'!$H$6:$H$1005,"Missing call IDs"),NA())</x:f>
        <x:v>0</x:v>
      </x:c>
      <x:c r="C25" s="7"/>
      <x:c r="D25" s="7"/>
      <x:c r="E25" s="7"/>
      <x:c r="F25" s="7"/>
      <x:c r="G25" s="7"/>
      <x:c r="H25" s="7"/>
      <x:c r="I25" s="7"/>
      <x:c r="J25" s="7"/>
      <x:c r="K25" s="7"/>
    </x:row>
    <x:row r="26" ht="22" customHeight="1">
      <x:c r="A26" s="7" t="str">
        <x:v>Duplicate IDs removed</x:v>
      </x:c>
      <x:c r="B26" s="19" t="n">
        <x:f>IF(AND(COUNTIF('Repeat Detail'!$A$6:$A$1005,"Quality")=21,COUNTIF('Repeat Detail'!$A$6:$A$1005,"Menu")=12,COUNTIF('Repeat Detail'!$A$6:$A$1005,"Daily")=SUMIFS('Repeat Detail'!$O$6:$O$1005,'Repeat Detail'!$A$6:$A$1005,"Quality",'Repeat Detail'!$H$6:$H$1005,"Date span")),SUMIFS('Repeat Detail'!$O$6:$O$1005,'Repeat Detail'!$A$6:$A$1005,"Quality",'Repeat Detail'!$H$6:$H$1005,"Duplicate IDs removed"),NA())</x:f>
        <x:v>0</x:v>
      </x:c>
      <x:c r="C26" s="7"/>
      <x:c r="D26" s="7"/>
      <x:c r="E26" s="7"/>
      <x:c r="F26" s="7"/>
      <x:c r="G26" s="7"/>
      <x:c r="H26" s="7"/>
      <x:c r="I26" s="7"/>
      <x:c r="J26" s="7"/>
      <x:c r="K26" s="7"/>
    </x:row>
    <x:row r="27" ht="22" customHeight="1">
      <x:c r="A27" s="7" t="str">
        <x:v>Invalid dates excluded</x:v>
      </x:c>
      <x:c r="B27" s="19" t="n">
        <x:f>IF(AND(COUNTIF('Repeat Detail'!$A$6:$A$1005,"Quality")=21,COUNTIF('Repeat Detail'!$A$6:$A$1005,"Menu")=12,COUNTIF('Repeat Detail'!$A$6:$A$1005,"Daily")=SUMIFS('Repeat Detail'!$O$6:$O$1005,'Repeat Detail'!$A$6:$A$1005,"Quality",'Repeat Detail'!$H$6:$H$1005,"Date span")),SUMIFS('Repeat Detail'!$O$6:$O$1005,'Repeat Detail'!$A$6:$A$1005,"Quality",'Repeat Detail'!$H$6:$H$1005,"Invalid dates excluded"),NA())</x:f>
        <x:v>0</x:v>
      </x:c>
      <x:c r="C27" s="7"/>
      <x:c r="D27" s="7"/>
      <x:c r="E27" s="7"/>
      <x:c r="F27" s="7"/>
      <x:c r="G27" s="7"/>
      <x:c r="H27" s="7"/>
      <x:c r="I27" s="7"/>
      <x:c r="J27" s="7"/>
      <x:c r="K27" s="7"/>
    </x:row>
    <x:row r="28" ht="22" customHeight="1">
      <x:c r="A28" s="7" t="str">
        <x:v>Unusable loan numbers</x:v>
      </x:c>
      <x:c r="B28" s="19" t="n">
        <x:f>IF(AND(COUNTIF('Repeat Detail'!$A$6:$A$1005,"Quality")=21,COUNTIF('Repeat Detail'!$A$6:$A$1005,"Menu")=12,COUNTIF('Repeat Detail'!$A$6:$A$1005,"Daily")=SUMIFS('Repeat Detail'!$O$6:$O$1005,'Repeat Detail'!$A$6:$A$1005,"Quality",'Repeat Detail'!$H$6:$H$1005,"Date span")),SUMIFS('Repeat Detail'!$O$6:$O$1005,'Repeat Detail'!$A$6:$A$1005,"Quality",'Repeat Detail'!$H$6:$H$1005,"Unusable loan numbers"),NA())</x:f>
        <x:v>35471</x:v>
      </x:c>
      <x:c r="C28" s="7"/>
      <x:c r="D28" s="7"/>
      <x:c r="E28" s="7"/>
      <x:c r="F28" s="7"/>
      <x:c r="G28" s="7"/>
      <x:c r="H28" s="7"/>
      <x:c r="I28" s="7"/>
      <x:c r="J28" s="7"/>
      <x:c r="K28" s="7"/>
    </x:row>
    <x:row r="29" ht="22" customHeight="1">
      <x:c r="A29" s="7" t="str">
        <x:v>Invalid timestamps</x:v>
      </x:c>
      <x:c r="B29" s="19" t="n">
        <x:f>IF(AND(COUNTIF('Repeat Detail'!$A$6:$A$1005,"Quality")=21,COUNTIF('Repeat Detail'!$A$6:$A$1005,"Menu")=12,COUNTIF('Repeat Detail'!$A$6:$A$1005,"Daily")=SUMIFS('Repeat Detail'!$O$6:$O$1005,'Repeat Detail'!$A$6:$A$1005,"Quality",'Repeat Detail'!$H$6:$H$1005,"Date span")),SUMIFS('Repeat Detail'!$O$6:$O$1005,'Repeat Detail'!$A$6:$A$1005,"Quality",'Repeat Detail'!$H$6:$H$1005,"Invalid timestamps"),NA())</x:f>
        <x:v>0</x:v>
      </x:c>
      <x:c r="C29" s="7"/>
      <x:c r="D29" s="7" t="str">
        <x:v>Highest daily repeat rate</x:v>
      </x:c>
      <x:c r="E29" s="7"/>
      <x:c r="F29" s="21" t="n">
        <x:f>IF(COUNT('Daily Analysis'!F7:F372)=0,"n.a.",MAX('Daily Analysis'!F7:F372))</x:f>
        <x:v>0.25375882172445535</x:v>
      </x:c>
      <x:c r="G29" s="7"/>
      <x:c r="H29" s="7"/>
      <x:c r="I29" s="7"/>
      <x:c r="J29" s="7"/>
      <x:c r="K29" s="7"/>
    </x:row>
    <x:row r="30" ht="22" customHeight="1">
      <x:c r="A30" s="7" t="str">
        <x:v>Timestamp date mismatches</x:v>
      </x:c>
      <x:c r="B30" s="19" t="n">
        <x:f>IF(AND(COUNTIF('Repeat Detail'!$A$6:$A$1005,"Quality")=21,COUNTIF('Repeat Detail'!$A$6:$A$1005,"Menu")=12,COUNTIF('Repeat Detail'!$A$6:$A$1005,"Daily")=SUMIFS('Repeat Detail'!$O$6:$O$1005,'Repeat Detail'!$A$6:$A$1005,"Quality",'Repeat Detail'!$H$6:$H$1005,"Date span")),SUMIFS('Repeat Detail'!$O$6:$O$1005,'Repeat Detail'!$A$6:$A$1005,"Quality",'Repeat Detail'!$H$6:$H$1005,"Timestamp date mismatches"),NA())</x:f>
        <x:v>0</x:v>
      </x:c>
      <x:c r="C30" s="7"/>
      <x:c r="D30" s="7" t="str">
        <x:v>Date of highest rate</x:v>
      </x:c>
      <x:c r="E30" s="7"/>
      <x:c r="F30" s="23" t="n">
        <x:f>IF(COUNT('Daily Analysis'!F7:F372)=0,"n.a.",INDEX('Daily Analysis'!A7:A372,MATCH(F29,'Daily Analysis'!F7:F372,0)))</x:f>
        <x:v>46262</x:v>
      </x:c>
      <x:c r="G30" s="7"/>
      <x:c r="H30" s="7"/>
      <x:c r="I30" s="7"/>
      <x:c r="J30" s="7"/>
      <x:c r="K30" s="7"/>
    </x:row>
    <x:row r="31" ht="22" customHeight="1">
      <x:c r="A31" s="7" t="str">
        <x:v>Unique loans in period</x:v>
      </x:c>
      <x:c r="B31" s="19" t="n">
        <x:f>IF(AND(COUNTIF('Repeat Detail'!$A$6:$A$1005,"Quality")=21,COUNTIF('Repeat Detail'!$A$6:$A$1005,"Menu")=12,COUNTIF('Repeat Detail'!$A$6:$A$1005,"Daily")=SUMIFS('Repeat Detail'!$O$6:$O$1005,'Repeat Detail'!$A$6:$A$1005,"Quality",'Repeat Detail'!$H$6:$H$1005,"Date span")),SUMIFS('Repeat Detail'!$O$6:$O$1005,'Repeat Detail'!$A$6:$A$1005,"Quality",'Repeat Detail'!$H$6:$H$1005,"Unique loans in period"),NA())</x:f>
        <x:v>101458</x:v>
      </x:c>
      <x:c r="C31" s="7"/>
      <x:c r="D31" s="7"/>
      <x:c r="E31" s="7"/>
      <x:c r="F31" s="7"/>
      <x:c r="G31" s="7"/>
      <x:c r="H31" s="7"/>
      <x:c r="I31" s="7"/>
      <x:c r="J31" s="7"/>
      <x:c r="K31" s="7"/>
    </x:row>
    <x:row r="32" ht="22" customHeight="1">
      <x:c r="A32" s="7" t="str">
        <x:v>Repeat calls with valid gaps</x:v>
      </x:c>
      <x:c r="B32" s="19" t="n">
        <x:f>IF(AND(COUNTIF('Repeat Detail'!$A$6:$A$1005,"Quality")=21,COUNTIF('Repeat Detail'!$A$6:$A$1005,"Menu")=12,COUNTIF('Repeat Detail'!$A$6:$A$1005,"Daily")=SUMIFS('Repeat Detail'!$O$6:$O$1005,'Repeat Detail'!$A$6:$A$1005,"Quality",'Repeat Detail'!$H$6:$H$1005,"Date span")),SUMIFS('Repeat Detail'!$O$6:$O$1005,'Repeat Detail'!$A$6:$A$1005,"Quality",'Repeat Detail'!$H$6:$H$1005,"Repeat calls with valid gaps"),NA())</x:f>
        <x:v>47672</x:v>
      </x:c>
      <x:c r="C32" s="7"/>
      <x:c r="D32" s="7" t="str">
        <x:v>Largest additional-call day</x:v>
      </x:c>
      <x:c r="E32" s="7"/>
      <x:c r="F32" s="19" t="n">
        <x:f>MAX('Daily Analysis'!G7:G372)</x:f>
        <x:v>1770</x:v>
      </x:c>
      <x:c r="G32" s="7"/>
      <x:c r="H32" s="7"/>
      <x:c r="I32" s="7"/>
      <x:c r="J32" s="7"/>
      <x:c r="K32" s="7"/>
    </x:row>
    <x:row r="33" ht="22" customHeight="1">
      <x:c r="A33" s="7" t="str">
        <x:v>Repeat gaps within 5 minutes</x:v>
      </x:c>
      <x:c r="B33" s="19" t="n">
        <x:f>IF(AND(COUNTIF('Repeat Detail'!$A$6:$A$1005,"Quality")=21,COUNTIF('Repeat Detail'!$A$6:$A$1005,"Menu")=12,COUNTIF('Repeat Detail'!$A$6:$A$1005,"Daily")=SUMIFS('Repeat Detail'!$O$6:$O$1005,'Repeat Detail'!$A$6:$A$1005,"Quality",'Repeat Detail'!$H$6:$H$1005,"Date span")),SUMIFS('Repeat Detail'!$O$6:$O$1005,'Repeat Detail'!$A$6:$A$1005,"Quality",'Repeat Detail'!$H$6:$H$1005,"Repeat gaps within 5 minutes"),NA())</x:f>
        <x:v>23954</x:v>
      </x:c>
      <x:c r="C33" s="7"/>
      <x:c r="D33" s="7"/>
      <x:c r="E33" s="7"/>
      <x:c r="F33" s="7"/>
      <x:c r="G33" s="7"/>
      <x:c r="H33" s="7"/>
      <x:c r="I33" s="7"/>
      <x:c r="J33" s="7"/>
      <x:c r="K33" s="7"/>
    </x:row>
    <x:row r="34" ht="22" customHeight="1">
      <x:c r="A34" s="7"/>
      <x:c r="B34" s="7"/>
      <x:c r="C34" s="7"/>
      <x:c r="D34" s="7"/>
      <x:c r="E34" s="7"/>
      <x:c r="F34" s="7"/>
      <x:c r="G34" s="7"/>
      <x:c r="H34" s="7"/>
      <x:c r="I34" s="7"/>
      <x:c r="J34" s="7"/>
      <x:c r="K34" s="7"/>
    </x:row>
    <x:row r="35" ht="22" customHeight="1">
      <x:c r="A35" s="7"/>
      <x:c r="B35" s="7"/>
      <x:c r="C35" s="7"/>
      <x:c r="D35" s="7"/>
      <x:c r="E35" s="7"/>
      <x:c r="F35" s="7"/>
      <x:c r="G35" s="7"/>
      <x:c r="H35" s="7"/>
      <x:c r="I35" s="7"/>
      <x:c r="J35" s="7"/>
      <x:c r="K35" s="7"/>
    </x:row>
    <x:row r="36" ht="22" customHeight="1">
      <x:c r="A36" s="6" t="str">
        <x:v>Definition: a repeat loan has two or more distinct call IDs on the same recorded calendar date.</x:v>
      </x:c>
      <x:c r="B36" s="7"/>
      <x:c r="C36" s="7"/>
      <x:c r="D36" s="7"/>
      <x:c r="E36" s="7"/>
      <x:c r="F36" s="7"/>
      <x:c r="G36" s="7"/>
      <x:c r="H36" s="7"/>
      <x:c r="I36" s="7"/>
      <x:c r="J36" s="7"/>
      <x:c r="K36" s="7"/>
    </x:row>
    <x:row r="37" ht="22" customHeight="1">
      <x:c r="A37" s="6" t="str">
        <x:v>Additional calls count the second and every subsequent call for that loan/day. This is not a confirmed repeat-contact reason.</x:v>
      </x:c>
      <x:c r="B37" s="7"/>
      <x:c r="C37" s="7"/>
      <x:c r="D37" s="7"/>
      <x:c r="E37" s="7"/>
      <x:c r="F37" s="7"/>
      <x:c r="G37" s="7"/>
      <x:c r="H37" s="7"/>
      <x:c r="I37" s="7"/>
      <x:c r="J37" s="7"/>
      <x:c r="K37" s="7"/>
    </x:row>
    <x:row r="38" ht="22" customHeight="1">
      <x:c r="A38" s="6" t="str">
        <x:v>Loan-days sum daily unique loans. A loan contacting you on different days counts on each day.</x:v>
      </x:c>
      <x:c r="B38" s="7"/>
      <x:c r="C38" s="7"/>
      <x:c r="D38" s="7"/>
      <x:c r="E38" s="7"/>
      <x:c r="F38" s="7"/>
      <x:c r="G38" s="7"/>
      <x:c r="H38" s="7"/>
      <x:c r="I38" s="7"/>
      <x:c r="J38" s="7"/>
      <x:c r="K38" s="7"/>
    </x:row>
    <x:row r="39" ht="22" customHeight="1">
      <x:c r="A39" s="6" t="str">
        <x:v>Time gaps measure start-to-start time, not time after the previous call ended. The source timezone is not specified.</x:v>
      </x:c>
      <x:c r="B39" s="7"/>
      <x:c r="C39" s="7"/>
      <x:c r="D39" s="7"/>
      <x:c r="E39" s="7"/>
      <x:c r="F39" s="7"/>
      <x:c r="G39" s="7"/>
      <x:c r="H39" s="7"/>
      <x:c r="I39" s="7"/>
      <x:c r="J39" s="7"/>
      <x:c r="K39" s="7"/>
    </x:row>
    <x:row r="40" ht="22" customHeight="1">
      <x:c r="A40" s="6" t="str">
        <x:v>Calls without a usable loan number cannot be matched. Missing call IDs and invalid dates are excluded and counted above.</x:v>
      </x:c>
      <x:c r="B40" s="7"/>
      <x:c r="C40" s="7"/>
      <x:c r="D40" s="7"/>
      <x:c r="E40" s="7"/>
      <x:c r="F40" s="7"/>
      <x:c r="G40" s="7"/>
      <x:c r="H40" s="7"/>
      <x:c r="I40" s="7"/>
      <x:c r="J40" s="7"/>
      <x:c r="K40" s="7"/>
    </x:row>
    <x:row r="41" ht="22" customHeight="1">
      <x:c r="A41" s="6" t="str">
        <x:v>Query refreshes support a date span up to 366 days. Daily Analysis includes every calendar date in that span.</x:v>
      </x:c>
      <x:c r="B41" s="7"/>
      <x:c r="C41" s="7"/>
      <x:c r="D41" s="7"/>
      <x:c r="E41" s="7"/>
      <x:c r="F41" s="7"/>
      <x:c r="G41" s="7"/>
      <x:c r="H41" s="7"/>
      <x:c r="I41" s="7"/>
      <x:c r="J41" s="7"/>
      <x:c r="K41" s="7"/>
    </x:row>
    <x:row r="42" ht="22" customHeight="1">
      <x:c r="A42" s="7"/>
      <x:c r="B42" s="7"/>
      <x:c r="C42" s="7"/>
      <x:c r="D42" s="7"/>
      <x:c r="E42" s="7"/>
      <x:c r="F42" s="7"/>
      <x:c r="G42" s="7"/>
      <x:c r="H42" s="7"/>
      <x:c r="I42" s="7"/>
      <x:c r="J42" s="7"/>
      <x:c r="K42" s="7"/>
    </x:row>
    <x:row r="43" ht="22" customHeight="1">
      <x:c r="A43" s="7"/>
      <x:c r="B43" s="7"/>
      <x:c r="C43" s="7"/>
      <x:c r="D43" s="7"/>
      <x:c r="E43" s="7"/>
      <x:c r="F43" s="7"/>
      <x:c r="G43" s="7"/>
      <x:c r="H43" s="7"/>
      <x:c r="I43" s="7"/>
      <x:c r="J43" s="7"/>
      <x:c r="K43" s="7"/>
    </x:row>
    <x:row r="44" ht="22" customHeight="1">
      <x:c r="A44" s="7"/>
      <x:c r="B44" s="7"/>
      <x:c r="C44" s="7"/>
      <x:c r="D44" s="7"/>
      <x:c r="E44" s="7"/>
      <x:c r="F44" s="7"/>
      <x:c r="G44" s="7"/>
      <x:c r="H44" s="7"/>
      <x:c r="I44" s="7"/>
      <x:c r="J44" s="7"/>
      <x:c r="K44" s="7"/>
    </x:row>
    <x:row r="45" ht="22" customHeight="1">
      <x:c r="A45" s="7"/>
      <x:c r="B45" s="7"/>
      <x:c r="C45" s="7"/>
      <x:c r="D45" s="7"/>
      <x:c r="E45" s="7"/>
      <x:c r="F45" s="7"/>
      <x:c r="G45" s="7"/>
      <x:c r="H45" s="7"/>
      <x:c r="I45" s="7"/>
      <x:c r="J45" s="7"/>
      <x:c r="K45" s="7"/>
    </x:row>
  </x:sheetData>
  <x:conditionalFormatting sqref="B25:B30">
    <x:cfRule type="cellIs" dxfId="0" priority="1" operator="greaterThan">
      <x:formula>0</x:formula>
    </x:cfRule>
  </x:conditionalFormatting>
  <x:pageMargins left="0.7" right="0.7" top="0.75" bottom="0.75" header="0.3" footer="0.3"/>
  <x:drawing xmlns:r="http://schemas.openxmlformats.org/officeDocument/2006/relationships" r:id="Rb5f8f42f0ca24785"/>
</x:worksheet>
</file>

<file path=xl/worksheets/sheet2.xml><?xml version="1.0" encoding="utf-8"?>
<x:worksheet xmlns:x="http://schemas.openxmlformats.org/spreadsheetml/2006/main">
  <x:sheetPr>
    <x:tabColor rgb="FF233B53"/>
  </x:sheetPr>
  <x:sheetViews>
    <x:sheetView showGridLines="0" workbookViewId="0">
      <x:pane ySplit="6" topLeftCell="A7" activePane="bottomLeft" state="frozen"/>
    </x:sheetView>
  </x:sheetViews>
  <x:sheetFormatPr defaultRowHeight="15"/>
  <x:cols>
    <x:col min="1" max="1" width="14"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s>
  <x:sheetData>
    <x:row r="1" ht="22" customHeight="1">
      <x:c r="A1" s="7"/>
      <x:c r="B1" s="7"/>
      <x:c r="C1" s="7"/>
      <x:c r="D1" s="7"/>
      <x:c r="E1" s="7"/>
      <x:c r="F1" s="7"/>
      <x:c r="G1" s="7"/>
      <x:c r="H1" s="7"/>
      <x:c r="I1" s="7"/>
      <x:c r="J1" s="7"/>
    </x:row>
    <x:row r="2" ht="22" customHeight="1">
      <x:c r="A2" s="8" t="str">
        <x:v>Same-day repeat calls by date</x:v>
      </x:c>
      <x:c r="B2" s="7"/>
      <x:c r="C2" s="7"/>
      <x:c r="D2" s="7"/>
      <x:c r="E2" s="7"/>
      <x:c r="F2" s="7"/>
      <x:c r="G2" s="7"/>
      <x:c r="H2" s="7"/>
      <x:c r="I2" s="7"/>
      <x:c r="J2" s="7"/>
    </x:row>
    <x:row r="3" ht="22" customHeight="1">
      <x:c r="A3" s="9"/>
      <x:c r="B3" s="9"/>
      <x:c r="C3" s="9"/>
      <x:c r="D3" s="9"/>
      <x:c r="E3" s="9"/>
      <x:c r="F3" s="9"/>
      <x:c r="G3" s="9"/>
      <x:c r="H3" s="9"/>
      <x:c r="I3" s="9"/>
      <x:c r="J3" s="9"/>
    </x:row>
    <x:row r="4" ht="22" customHeight="1">
      <x:c r="A4" s="6" t="str">
        <x:v>Repeat rate = loans with 2+ calls / unique identified loans that day. Blank loan numbers are excluded from this rate.</x:v>
      </x:c>
      <x:c r="B4" s="7"/>
      <x:c r="C4" s="7"/>
      <x:c r="D4" s="7"/>
      <x:c r="E4" s="7"/>
      <x:c r="F4" s="7"/>
      <x:c r="G4" s="7"/>
      <x:c r="H4" s="7"/>
      <x:c r="I4" s="7"/>
      <x:c r="J4" s="7"/>
    </x:row>
    <x:row r="5" ht="22" customHeight="1">
      <x:c r="A5" s="7"/>
      <x:c r="B5" s="7"/>
      <x:c r="C5" s="7"/>
      <x:c r="D5" s="7"/>
      <x:c r="E5" s="7"/>
      <x:c r="F5" s="7"/>
      <x:c r="G5" s="7"/>
      <x:c r="H5" s="7"/>
      <x:c r="I5" s="7"/>
      <x:c r="J5" s="7"/>
    </x:row>
    <x:row r="6" ht="34" customHeight="1">
      <x:c r="A6" s="4" t="str">
        <x:v>Date</x:v>
      </x:c>
      <x:c r="B6" s="4" t="str">
        <x:v>All calls</x:v>
      </x:c>
      <x:c r="C6" s="4" t="str">
        <x:v>Identifiable calls</x:v>
      </x:c>
      <x:c r="D6" s="4" t="str">
        <x:v>Unique loans</x:v>
      </x:c>
      <x:c r="E6" s="4" t="str">
        <x:v>Loans with 2+ calls</x:v>
      </x:c>
      <x:c r="F6" s="4" t="str">
        <x:v>Repeat rate</x:v>
      </x:c>
      <x:c r="G6" s="4" t="str">
        <x:v>Additional calls</x:v>
      </x:c>
      <x:c r="H6" s="4" t="str">
        <x:v>Additional / identifiable</x:v>
      </x:c>
      <x:c r="I6" s="4" t="str">
        <x:v>Calls from repeat loans</x:v>
      </x:c>
      <x:c r="J6" s="4" t="str">
        <x:v>Missing / invalid loan</x:v>
      </x:c>
    </x:row>
    <x:row r="7" ht="22" customHeight="1">
      <x:c r="A7" s="11" t="n">
        <x:f>IF(IF(AND(COUNTIF('Repeat Detail'!$A$6:$A$1005,"Quality")=21,COUNTIF('Repeat Detail'!$A$6:$A$1005,"Menu")=12,COUNTIF('Repeat Detail'!$A$6:$A$1005,"Daily")=SUMIFS('Repeat Detail'!$O$6:$O$1005,'Repeat Detail'!$A$6:$A$1005,"Quality",'Repeat Detail'!$H$6:$H$1005,"Date span")),SUMIFS('Repeat Detail'!$O$6:$O$1005,'Repeat Detail'!$A$6:$A$1005,"Quality",'Repeat Detail'!$H$6:$H$1005,"Date span"),NA())=0,"",IF(AND(COUNTIF('Repeat Detail'!$A$6:$A$1005,"Quality")=21,COUNTIF('Repeat Detail'!$A$6:$A$1005,"Menu")=12,COUNTIF('Repeat Detail'!$A$6:$A$1005,"Daily")=SUMIFS('Repeat Detail'!$O$6:$O$1005,'Repeat Detail'!$A$6:$A$1005,"Quality",'Repeat Detail'!$H$6:$H$1005,"Date span")),SUMIFS('Repeat Detail'!$O$6:$O$1005,'Repeat Detail'!$A$6:$A$1005,"Quality",'Repeat Detail'!$H$6:$H$1005,"First date"),NA()))</x:f>
        <x:v>46221</x:v>
      </x:c>
      <x:c r="B7" s="19" t="n">
        <x:f>IF($A7="","",SUMIFS('Repeat Detail'!$I$6:$I$1005,'Repeat Detail'!$A$6:$A$1005,"Daily",'Repeat Detail'!$B$6:$B$1005,$A7))</x:f>
        <x:v>1024</x:v>
      </x:c>
      <x:c r="C7" s="19" t="n">
        <x:f>IF($A7="","",SUMIFS('Repeat Detail'!$J$6:$J$1005,'Repeat Detail'!$A$6:$A$1005,"Daily",'Repeat Detail'!$B$6:$B$1005,$A7))</x:f>
        <x:v>866</x:v>
      </x:c>
      <x:c r="D7" s="19" t="n">
        <x:f>IF($A7="","",SUMIFS('Repeat Detail'!$K$6:$K$1005,'Repeat Detail'!$A$6:$A$1005,"Daily",'Repeat Detail'!$B$6:$B$1005,$A7))</x:f>
        <x:v>694</x:v>
      </x:c>
      <x:c r="E7" s="19" t="n">
        <x:f>IF($A7="","",SUMIFS('Repeat Detail'!$L$6:$L$1005,'Repeat Detail'!$A$6:$A$1005,"Daily",'Repeat Detail'!$B$6:$B$1005,$A7))</x:f>
        <x:v>132</x:v>
      </x:c>
      <x:c r="F7" s="21" t="n">
        <x:f>IF(A7="","",IF(D7=0,"n.a.",E7/D7))</x:f>
        <x:v>0.19020172910662825</x:v>
      </x:c>
      <x:c r="G7" s="19" t="n">
        <x:f>IF($A7="","",SUMIFS('Repeat Detail'!$M$6:$M$1005,'Repeat Detail'!$A$6:$A$1005,"Daily",'Repeat Detail'!$B$6:$B$1005,$A7))</x:f>
        <x:v>172</x:v>
      </x:c>
      <x:c r="H7" s="21" t="n">
        <x:f>IF(A7="","",IF(C7=0,"n.a.",G7/C7))</x:f>
        <x:v>0.19861431870669746</x:v>
      </x:c>
      <x:c r="I7" s="19" t="n">
        <x:f>IF($A7="","",SUMIFS('Repeat Detail'!$N$6:$N$1005,'Repeat Detail'!$A$6:$A$1005,"Daily",'Repeat Detail'!$B$6:$B$1005,$A7))</x:f>
        <x:v>304</x:v>
      </x:c>
      <x:c r="J7" s="19" t="n">
        <x:f>IF(A7="","",B7-C7)</x:f>
        <x:v>158</x:v>
      </x:c>
    </x:row>
    <x:row r="8" ht="22" customHeight="1">
      <x:c r="A8" s="11" t="n">
        <x:f>IF(A7="","",IF(A7+1&gt;IF(AND(COUNTIF('Repeat Detail'!$A$6:$A$1005,"Quality")=21,COUNTIF('Repeat Detail'!$A$6:$A$1005,"Menu")=12,COUNTIF('Repeat Detail'!$A$6:$A$1005,"Daily")=SUMIFS('Repeat Detail'!$O$6:$O$1005,'Repeat Detail'!$A$6:$A$1005,"Quality",'Repeat Detail'!$H$6:$H$1005,"Date span")),SUMIFS('Repeat Detail'!$O$6:$O$1005,'Repeat Detail'!$A$6:$A$1005,"Quality",'Repeat Detail'!$H$6:$H$1005,"Last date"),NA()),"",A7+1))</x:f>
        <x:v>46222</x:v>
      </x:c>
      <x:c r="B8" s="19" t="n">
        <x:f>IF($A8="","",SUMIFS('Repeat Detail'!$I$6:$I$1005,'Repeat Detail'!$A$6:$A$1005,"Daily",'Repeat Detail'!$B$6:$B$1005,$A8))</x:f>
        <x:v>356</x:v>
      </x:c>
      <x:c r="C8" s="19" t="n">
        <x:f>IF($A8="","",SUMIFS('Repeat Detail'!$J$6:$J$1005,'Repeat Detail'!$A$6:$A$1005,"Daily",'Repeat Detail'!$B$6:$B$1005,$A8))</x:f>
        <x:v>290</x:v>
      </x:c>
      <x:c r="D8" s="19" t="n">
        <x:f>IF($A8="","",SUMIFS('Repeat Detail'!$K$6:$K$1005,'Repeat Detail'!$A$6:$A$1005,"Daily",'Repeat Detail'!$B$6:$B$1005,$A8))</x:f>
        <x:v>237</x:v>
      </x:c>
      <x:c r="E8" s="19" t="n">
        <x:f>IF($A8="","",SUMIFS('Repeat Detail'!$L$6:$L$1005,'Repeat Detail'!$A$6:$A$1005,"Daily",'Repeat Detail'!$B$6:$B$1005,$A8))</x:f>
        <x:v>42</x:v>
      </x:c>
      <x:c r="F8" s="21" t="n">
        <x:f>IF(A8="","",IF(D8=0,"n.a.",E8/D8))</x:f>
        <x:v>0.17721518987341772</x:v>
      </x:c>
      <x:c r="G8" s="19" t="n">
        <x:f>IF($A8="","",SUMIFS('Repeat Detail'!$M$6:$M$1005,'Repeat Detail'!$A$6:$A$1005,"Daily",'Repeat Detail'!$B$6:$B$1005,$A8))</x:f>
        <x:v>53</x:v>
      </x:c>
      <x:c r="H8" s="21" t="n">
        <x:f>IF(A8="","",IF(C8=0,"n.a.",G8/C8))</x:f>
        <x:v>0.18275862068965518</x:v>
      </x:c>
      <x:c r="I8" s="19" t="n">
        <x:f>IF($A8="","",SUMIFS('Repeat Detail'!$N$6:$N$1005,'Repeat Detail'!$A$6:$A$1005,"Daily",'Repeat Detail'!$B$6:$B$1005,$A8))</x:f>
        <x:v>95</x:v>
      </x:c>
      <x:c r="J8" s="19" t="n">
        <x:f>IF(A8="","",B8-C8)</x:f>
        <x:v>66</x:v>
      </x:c>
    </x:row>
    <x:row r="9" ht="22" customHeight="1">
      <x:c r="A9" s="11" t="n">
        <x:f>IF(A8="","",IF(A8+1&gt;IF(AND(COUNTIF('Repeat Detail'!$A$6:$A$1005,"Quality")=21,COUNTIF('Repeat Detail'!$A$6:$A$1005,"Menu")=12,COUNTIF('Repeat Detail'!$A$6:$A$1005,"Daily")=SUMIFS('Repeat Detail'!$O$6:$O$1005,'Repeat Detail'!$A$6:$A$1005,"Quality",'Repeat Detail'!$H$6:$H$1005,"Date span")),SUMIFS('Repeat Detail'!$O$6:$O$1005,'Repeat Detail'!$A$6:$A$1005,"Quality",'Repeat Detail'!$H$6:$H$1005,"Last date"),NA()),"",A8+1))</x:f>
        <x:v>46223</x:v>
      </x:c>
      <x:c r="B9" s="19" t="n">
        <x:f>IF($A9="","",SUMIFS('Repeat Detail'!$I$6:$I$1005,'Repeat Detail'!$A$6:$A$1005,"Daily",'Repeat Detail'!$B$6:$B$1005,$A9))</x:f>
        <x:v>4915</x:v>
      </x:c>
      <x:c r="C9" s="19" t="n">
        <x:f>IF($A9="","",SUMIFS('Repeat Detail'!$J$6:$J$1005,'Repeat Detail'!$A$6:$A$1005,"Daily",'Repeat Detail'!$B$6:$B$1005,$A9))</x:f>
        <x:v>4204</x:v>
      </x:c>
      <x:c r="D9" s="19" t="n">
        <x:f>IF($A9="","",SUMIFS('Repeat Detail'!$K$6:$K$1005,'Repeat Detail'!$A$6:$A$1005,"Daily",'Repeat Detail'!$B$6:$B$1005,$A9))</x:f>
        <x:v>3234</x:v>
      </x:c>
      <x:c r="E9" s="19" t="n">
        <x:f>IF($A9="","",SUMIFS('Repeat Detail'!$L$6:$L$1005,'Repeat Detail'!$A$6:$A$1005,"Daily",'Repeat Detail'!$B$6:$B$1005,$A9))</x:f>
        <x:v>707</x:v>
      </x:c>
      <x:c r="F9" s="21" t="n">
        <x:f>IF(A9="","",IF(D9=0,"n.a.",E9/D9))</x:f>
        <x:v>0.21861471861471862</x:v>
      </x:c>
      <x:c r="G9" s="19" t="n">
        <x:f>IF($A9="","",SUMIFS('Repeat Detail'!$M$6:$M$1005,'Repeat Detail'!$A$6:$A$1005,"Daily",'Repeat Detail'!$B$6:$B$1005,$A9))</x:f>
        <x:v>970</x:v>
      </x:c>
      <x:c r="H9" s="21" t="n">
        <x:f>IF(A9="","",IF(C9=0,"n.a.",G9/C9))</x:f>
        <x:v>0.230732635585157</x:v>
      </x:c>
      <x:c r="I9" s="19" t="n">
        <x:f>IF($A9="","",SUMIFS('Repeat Detail'!$N$6:$N$1005,'Repeat Detail'!$A$6:$A$1005,"Daily",'Repeat Detail'!$B$6:$B$1005,$A9))</x:f>
        <x:v>1677</x:v>
      </x:c>
      <x:c r="J9" s="19" t="n">
        <x:f>IF(A9="","",B9-C9)</x:f>
        <x:v>711</x:v>
      </x:c>
    </x:row>
    <x:row r="10" ht="22" customHeight="1">
      <x:c r="A10" s="11" t="n">
        <x:f>IF(A9="","",IF(A9+1&gt;IF(AND(COUNTIF('Repeat Detail'!$A$6:$A$1005,"Quality")=21,COUNTIF('Repeat Detail'!$A$6:$A$1005,"Menu")=12,COUNTIF('Repeat Detail'!$A$6:$A$1005,"Daily")=SUMIFS('Repeat Detail'!$O$6:$O$1005,'Repeat Detail'!$A$6:$A$1005,"Quality",'Repeat Detail'!$H$6:$H$1005,"Date span")),SUMIFS('Repeat Detail'!$O$6:$O$1005,'Repeat Detail'!$A$6:$A$1005,"Quality",'Repeat Detail'!$H$6:$H$1005,"Last date"),NA()),"",A9+1))</x:f>
        <x:v>46224</x:v>
      </x:c>
      <x:c r="B10" s="19" t="n">
        <x:f>IF($A10="","",SUMIFS('Repeat Detail'!$I$6:$I$1005,'Repeat Detail'!$A$6:$A$1005,"Daily",'Repeat Detail'!$B$6:$B$1005,$A10))</x:f>
        <x:v>4598</x:v>
      </x:c>
      <x:c r="C10" s="19" t="n">
        <x:f>IF($A10="","",SUMIFS('Repeat Detail'!$J$6:$J$1005,'Repeat Detail'!$A$6:$A$1005,"Daily",'Repeat Detail'!$B$6:$B$1005,$A10))</x:f>
        <x:v>3854</x:v>
      </x:c>
      <x:c r="D10" s="19" t="n">
        <x:f>IF($A10="","",SUMIFS('Repeat Detail'!$K$6:$K$1005,'Repeat Detail'!$A$6:$A$1005,"Daily",'Repeat Detail'!$B$6:$B$1005,$A10))</x:f>
        <x:v>2958</x:v>
      </x:c>
      <x:c r="E10" s="19" t="n">
        <x:f>IF($A10="","",SUMIFS('Repeat Detail'!$L$6:$L$1005,'Repeat Detail'!$A$6:$A$1005,"Daily",'Repeat Detail'!$B$6:$B$1005,$A10))</x:f>
        <x:v>632</x:v>
      </x:c>
      <x:c r="F10" s="21" t="n">
        <x:f>IF(A10="","",IF(D10=0,"n.a.",E10/D10))</x:f>
        <x:v>0.213657876943881</x:v>
      </x:c>
      <x:c r="G10" s="19" t="n">
        <x:f>IF($A10="","",SUMIFS('Repeat Detail'!$M$6:$M$1005,'Repeat Detail'!$A$6:$A$1005,"Daily",'Repeat Detail'!$B$6:$B$1005,$A10))</x:f>
        <x:v>896</x:v>
      </x:c>
      <x:c r="H10" s="21" t="n">
        <x:f>IF(A10="","",IF(C10=0,"n.a.",G10/C10))</x:f>
        <x:v>0.23248572911261028</x:v>
      </x:c>
      <x:c r="I10" s="19" t="n">
        <x:f>IF($A10="","",SUMIFS('Repeat Detail'!$N$6:$N$1005,'Repeat Detail'!$A$6:$A$1005,"Daily",'Repeat Detail'!$B$6:$B$1005,$A10))</x:f>
        <x:v>1528</x:v>
      </x:c>
      <x:c r="J10" s="19" t="n">
        <x:f>IF(A10="","",B10-C10)</x:f>
        <x:v>744</x:v>
      </x:c>
    </x:row>
    <x:row r="11" ht="22" customHeight="1">
      <x:c r="A11" s="11" t="n">
        <x:f>IF(A10="","",IF(A10+1&gt;IF(AND(COUNTIF('Repeat Detail'!$A$6:$A$1005,"Quality")=21,COUNTIF('Repeat Detail'!$A$6:$A$1005,"Menu")=12,COUNTIF('Repeat Detail'!$A$6:$A$1005,"Daily")=SUMIFS('Repeat Detail'!$O$6:$O$1005,'Repeat Detail'!$A$6:$A$1005,"Quality",'Repeat Detail'!$H$6:$H$1005,"Date span")),SUMIFS('Repeat Detail'!$O$6:$O$1005,'Repeat Detail'!$A$6:$A$1005,"Quality",'Repeat Detail'!$H$6:$H$1005,"Last date"),NA()),"",A10+1))</x:f>
        <x:v>46225</x:v>
      </x:c>
      <x:c r="B11" s="19" t="n">
        <x:f>IF($A11="","",SUMIFS('Repeat Detail'!$I$6:$I$1005,'Repeat Detail'!$A$6:$A$1005,"Daily",'Repeat Detail'!$B$6:$B$1005,$A11))</x:f>
        <x:v>4471</x:v>
      </x:c>
      <x:c r="C11" s="19" t="n">
        <x:f>IF($A11="","",SUMIFS('Repeat Detail'!$J$6:$J$1005,'Repeat Detail'!$A$6:$A$1005,"Daily",'Repeat Detail'!$B$6:$B$1005,$A11))</x:f>
        <x:v>3827</x:v>
      </x:c>
      <x:c r="D11" s="19" t="n">
        <x:f>IF($A11="","",SUMIFS('Repeat Detail'!$K$6:$K$1005,'Repeat Detail'!$A$6:$A$1005,"Daily",'Repeat Detail'!$B$6:$B$1005,$A11))</x:f>
        <x:v>2986</x:v>
      </x:c>
      <x:c r="E11" s="19" t="n">
        <x:f>IF($A11="","",SUMIFS('Repeat Detail'!$L$6:$L$1005,'Repeat Detail'!$A$6:$A$1005,"Daily",'Repeat Detail'!$B$6:$B$1005,$A11))</x:f>
        <x:v>605</x:v>
      </x:c>
      <x:c r="F11" s="21" t="n">
        <x:f>IF(A11="","",IF(D11=0,"n.a.",E11/D11))</x:f>
        <x:v>0.20261219022103147</x:v>
      </x:c>
      <x:c r="G11" s="19" t="n">
        <x:f>IF($A11="","",SUMIFS('Repeat Detail'!$M$6:$M$1005,'Repeat Detail'!$A$6:$A$1005,"Daily",'Repeat Detail'!$B$6:$B$1005,$A11))</x:f>
        <x:v>841</x:v>
      </x:c>
      <x:c r="H11" s="21" t="n">
        <x:f>IF(A11="","",IF(C11=0,"n.a.",G11/C11))</x:f>
        <x:v>0.2197543767964463</x:v>
      </x:c>
      <x:c r="I11" s="19" t="n">
        <x:f>IF($A11="","",SUMIFS('Repeat Detail'!$N$6:$N$1005,'Repeat Detail'!$A$6:$A$1005,"Daily",'Repeat Detail'!$B$6:$B$1005,$A11))</x:f>
        <x:v>1446</x:v>
      </x:c>
      <x:c r="J11" s="19" t="n">
        <x:f>IF(A11="","",B11-C11)</x:f>
        <x:v>644</x:v>
      </x:c>
    </x:row>
    <x:row r="12" ht="22" customHeight="1">
      <x:c r="A12" s="11" t="n">
        <x:f>IF(A11="","",IF(A11+1&gt;IF(AND(COUNTIF('Repeat Detail'!$A$6:$A$1005,"Quality")=21,COUNTIF('Repeat Detail'!$A$6:$A$1005,"Menu")=12,COUNTIF('Repeat Detail'!$A$6:$A$1005,"Daily")=SUMIFS('Repeat Detail'!$O$6:$O$1005,'Repeat Detail'!$A$6:$A$1005,"Quality",'Repeat Detail'!$H$6:$H$1005,"Date span")),SUMIFS('Repeat Detail'!$O$6:$O$1005,'Repeat Detail'!$A$6:$A$1005,"Quality",'Repeat Detail'!$H$6:$H$1005,"Last date"),NA()),"",A11+1))</x:f>
        <x:v>46226</x:v>
      </x:c>
      <x:c r="B12" s="19" t="n">
        <x:f>IF($A12="","",SUMIFS('Repeat Detail'!$I$6:$I$1005,'Repeat Detail'!$A$6:$A$1005,"Daily",'Repeat Detail'!$B$6:$B$1005,$A12))</x:f>
        <x:v>4003</x:v>
      </x:c>
      <x:c r="C12" s="19" t="n">
        <x:f>IF($A12="","",SUMIFS('Repeat Detail'!$J$6:$J$1005,'Repeat Detail'!$A$6:$A$1005,"Daily",'Repeat Detail'!$B$6:$B$1005,$A12))</x:f>
        <x:v>3384</x:v>
      </x:c>
      <x:c r="D12" s="19" t="n">
        <x:f>IF($A12="","",SUMIFS('Repeat Detail'!$K$6:$K$1005,'Repeat Detail'!$A$6:$A$1005,"Daily",'Repeat Detail'!$B$6:$B$1005,$A12))</x:f>
        <x:v>2668</x:v>
      </x:c>
      <x:c r="E12" s="19" t="n">
        <x:f>IF($A12="","",SUMIFS('Repeat Detail'!$L$6:$L$1005,'Repeat Detail'!$A$6:$A$1005,"Daily",'Repeat Detail'!$B$6:$B$1005,$A12))</x:f>
        <x:v>518</x:v>
      </x:c>
      <x:c r="F12" s="21" t="n">
        <x:f>IF(A12="","",IF(D12=0,"n.a.",E12/D12))</x:f>
        <x:v>0.19415292353823088</x:v>
      </x:c>
      <x:c r="G12" s="19" t="n">
        <x:f>IF($A12="","",SUMIFS('Repeat Detail'!$M$6:$M$1005,'Repeat Detail'!$A$6:$A$1005,"Daily",'Repeat Detail'!$B$6:$B$1005,$A12))</x:f>
        <x:v>716</x:v>
      </x:c>
      <x:c r="H12" s="21" t="n">
        <x:f>IF(A12="","",IF(C12=0,"n.a.",G12/C12))</x:f>
        <x:v>0.2115839243498818</x:v>
      </x:c>
      <x:c r="I12" s="19" t="n">
        <x:f>IF($A12="","",SUMIFS('Repeat Detail'!$N$6:$N$1005,'Repeat Detail'!$A$6:$A$1005,"Daily",'Repeat Detail'!$B$6:$B$1005,$A12))</x:f>
        <x:v>1234</x:v>
      </x:c>
      <x:c r="J12" s="19" t="n">
        <x:f>IF(A12="","",B12-C12)</x:f>
        <x:v>619</x:v>
      </x:c>
    </x:row>
    <x:row r="13" ht="22" customHeight="1">
      <x:c r="A13" s="11" t="n">
        <x:f>IF(A12="","",IF(A12+1&gt;IF(AND(COUNTIF('Repeat Detail'!$A$6:$A$1005,"Quality")=21,COUNTIF('Repeat Detail'!$A$6:$A$1005,"Menu")=12,COUNTIF('Repeat Detail'!$A$6:$A$1005,"Daily")=SUMIFS('Repeat Detail'!$O$6:$O$1005,'Repeat Detail'!$A$6:$A$1005,"Quality",'Repeat Detail'!$H$6:$H$1005,"Date span")),SUMIFS('Repeat Detail'!$O$6:$O$1005,'Repeat Detail'!$A$6:$A$1005,"Quality",'Repeat Detail'!$H$6:$H$1005,"Last date"),NA()),"",A12+1))</x:f>
        <x:v>46227</x:v>
      </x:c>
      <x:c r="B13" s="19" t="n">
        <x:f>IF($A13="","",SUMIFS('Repeat Detail'!$I$6:$I$1005,'Repeat Detail'!$A$6:$A$1005,"Daily",'Repeat Detail'!$B$6:$B$1005,$A13))</x:f>
        <x:v>4487</x:v>
      </x:c>
      <x:c r="C13" s="19" t="n">
        <x:f>IF($A13="","",SUMIFS('Repeat Detail'!$J$6:$J$1005,'Repeat Detail'!$A$6:$A$1005,"Daily",'Repeat Detail'!$B$6:$B$1005,$A13))</x:f>
        <x:v>3852</x:v>
      </x:c>
      <x:c r="D13" s="19" t="n">
        <x:f>IF($A13="","",SUMIFS('Repeat Detail'!$K$6:$K$1005,'Repeat Detail'!$A$6:$A$1005,"Daily",'Repeat Detail'!$B$6:$B$1005,$A13))</x:f>
        <x:v>2996</x:v>
      </x:c>
      <x:c r="E13" s="19" t="n">
        <x:f>IF($A13="","",SUMIFS('Repeat Detail'!$L$6:$L$1005,'Repeat Detail'!$A$6:$A$1005,"Daily",'Repeat Detail'!$B$6:$B$1005,$A13))</x:f>
        <x:v>630</x:v>
      </x:c>
      <x:c r="F13" s="21" t="n">
        <x:f>IF(A13="","",IF(D13=0,"n.a.",E13/D13))</x:f>
        <x:v>0.2102803738317757</x:v>
      </x:c>
      <x:c r="G13" s="19" t="n">
        <x:f>IF($A13="","",SUMIFS('Repeat Detail'!$M$6:$M$1005,'Repeat Detail'!$A$6:$A$1005,"Daily",'Repeat Detail'!$B$6:$B$1005,$A13))</x:f>
        <x:v>856</x:v>
      </x:c>
      <x:c r="H13" s="21" t="n">
        <x:f>IF(A13="","",IF(C13=0,"n.a.",G13/C13))</x:f>
        <x:v>0.2222222222222222</x:v>
      </x:c>
      <x:c r="I13" s="19" t="n">
        <x:f>IF($A13="","",SUMIFS('Repeat Detail'!$N$6:$N$1005,'Repeat Detail'!$A$6:$A$1005,"Daily",'Repeat Detail'!$B$6:$B$1005,$A13))</x:f>
        <x:v>1486</x:v>
      </x:c>
      <x:c r="J13" s="19" t="n">
        <x:f>IF(A13="","",B13-C13)</x:f>
        <x:v>635</x:v>
      </x:c>
    </x:row>
    <x:row r="14" ht="22" customHeight="1">
      <x:c r="A14" s="11" t="n">
        <x:f>IF(A13="","",IF(A13+1&gt;IF(AND(COUNTIF('Repeat Detail'!$A$6:$A$1005,"Quality")=21,COUNTIF('Repeat Detail'!$A$6:$A$1005,"Menu")=12,COUNTIF('Repeat Detail'!$A$6:$A$1005,"Daily")=SUMIFS('Repeat Detail'!$O$6:$O$1005,'Repeat Detail'!$A$6:$A$1005,"Quality",'Repeat Detail'!$H$6:$H$1005,"Date span")),SUMIFS('Repeat Detail'!$O$6:$O$1005,'Repeat Detail'!$A$6:$A$1005,"Quality",'Repeat Detail'!$H$6:$H$1005,"Last date"),NA()),"",A13+1))</x:f>
        <x:v>46228</x:v>
      </x:c>
      <x:c r="B14" s="19" t="n">
        <x:f>IF($A14="","",SUMIFS('Repeat Detail'!$I$6:$I$1005,'Repeat Detail'!$A$6:$A$1005,"Daily",'Repeat Detail'!$B$6:$B$1005,$A14))</x:f>
        <x:v>973</x:v>
      </x:c>
      <x:c r="C14" s="19" t="n">
        <x:f>IF($A14="","",SUMIFS('Repeat Detail'!$J$6:$J$1005,'Repeat Detail'!$A$6:$A$1005,"Daily",'Repeat Detail'!$B$6:$B$1005,$A14))</x:f>
        <x:v>827</x:v>
      </x:c>
      <x:c r="D14" s="19" t="n">
        <x:f>IF($A14="","",SUMIFS('Repeat Detail'!$K$6:$K$1005,'Repeat Detail'!$A$6:$A$1005,"Daily",'Repeat Detail'!$B$6:$B$1005,$A14))</x:f>
        <x:v>657</x:v>
      </x:c>
      <x:c r="E14" s="19" t="n">
        <x:f>IF($A14="","",SUMIFS('Repeat Detail'!$L$6:$L$1005,'Repeat Detail'!$A$6:$A$1005,"Daily",'Repeat Detail'!$B$6:$B$1005,$A14))</x:f>
        <x:v>126</x:v>
      </x:c>
      <x:c r="F14" s="21" t="n">
        <x:f>IF(A14="","",IF(D14=0,"n.a.",E14/D14))</x:f>
        <x:v>0.1917808219178082</x:v>
      </x:c>
      <x:c r="G14" s="19" t="n">
        <x:f>IF($A14="","",SUMIFS('Repeat Detail'!$M$6:$M$1005,'Repeat Detail'!$A$6:$A$1005,"Daily",'Repeat Detail'!$B$6:$B$1005,$A14))</x:f>
        <x:v>170</x:v>
      </x:c>
      <x:c r="H14" s="21" t="n">
        <x:f>IF(A14="","",IF(C14=0,"n.a.",G14/C14))</x:f>
        <x:v>0.20556227327690446</x:v>
      </x:c>
      <x:c r="I14" s="19" t="n">
        <x:f>IF($A14="","",SUMIFS('Repeat Detail'!$N$6:$N$1005,'Repeat Detail'!$A$6:$A$1005,"Daily",'Repeat Detail'!$B$6:$B$1005,$A14))</x:f>
        <x:v>296</x:v>
      </x:c>
      <x:c r="J14" s="19" t="n">
        <x:f>IF(A14="","",B14-C14)</x:f>
        <x:v>146</x:v>
      </x:c>
    </x:row>
    <x:row r="15" ht="22" customHeight="1">
      <x:c r="A15" s="11" t="n">
        <x:f>IF(A14="","",IF(A14+1&gt;IF(AND(COUNTIF('Repeat Detail'!$A$6:$A$1005,"Quality")=21,COUNTIF('Repeat Detail'!$A$6:$A$1005,"Menu")=12,COUNTIF('Repeat Detail'!$A$6:$A$1005,"Daily")=SUMIFS('Repeat Detail'!$O$6:$O$1005,'Repeat Detail'!$A$6:$A$1005,"Quality",'Repeat Detail'!$H$6:$H$1005,"Date span")),SUMIFS('Repeat Detail'!$O$6:$O$1005,'Repeat Detail'!$A$6:$A$1005,"Quality",'Repeat Detail'!$H$6:$H$1005,"Last date"),NA()),"",A14+1))</x:f>
        <x:v>46229</x:v>
      </x:c>
      <x:c r="B15" s="19" t="n">
        <x:f>IF($A15="","",SUMIFS('Repeat Detail'!$I$6:$I$1005,'Repeat Detail'!$A$6:$A$1005,"Daily",'Repeat Detail'!$B$6:$B$1005,$A15))</x:f>
        <x:v>488</x:v>
      </x:c>
      <x:c r="C15" s="19" t="n">
        <x:f>IF($A15="","",SUMIFS('Repeat Detail'!$J$6:$J$1005,'Repeat Detail'!$A$6:$A$1005,"Daily",'Repeat Detail'!$B$6:$B$1005,$A15))</x:f>
        <x:v>397</x:v>
      </x:c>
      <x:c r="D15" s="19" t="n">
        <x:f>IF($A15="","",SUMIFS('Repeat Detail'!$K$6:$K$1005,'Repeat Detail'!$A$6:$A$1005,"Daily",'Repeat Detail'!$B$6:$B$1005,$A15))</x:f>
        <x:v>309</x:v>
      </x:c>
      <x:c r="E15" s="19" t="n">
        <x:f>IF($A15="","",SUMIFS('Repeat Detail'!$L$6:$L$1005,'Repeat Detail'!$A$6:$A$1005,"Daily",'Repeat Detail'!$B$6:$B$1005,$A15))</x:f>
        <x:v>63</x:v>
      </x:c>
      <x:c r="F15" s="21" t="n">
        <x:f>IF(A15="","",IF(D15=0,"n.a.",E15/D15))</x:f>
        <x:v>0.20388349514563106</x:v>
      </x:c>
      <x:c r="G15" s="19" t="n">
        <x:f>IF($A15="","",SUMIFS('Repeat Detail'!$M$6:$M$1005,'Repeat Detail'!$A$6:$A$1005,"Daily",'Repeat Detail'!$B$6:$B$1005,$A15))</x:f>
        <x:v>88</x:v>
      </x:c>
      <x:c r="H15" s="21" t="n">
        <x:f>IF(A15="","",IF(C15=0,"n.a.",G15/C15))</x:f>
        <x:v>0.2216624685138539</x:v>
      </x:c>
      <x:c r="I15" s="19" t="n">
        <x:f>IF($A15="","",SUMIFS('Repeat Detail'!$N$6:$N$1005,'Repeat Detail'!$A$6:$A$1005,"Daily",'Repeat Detail'!$B$6:$B$1005,$A15))</x:f>
        <x:v>151</x:v>
      </x:c>
      <x:c r="J15" s="19" t="n">
        <x:f>IF(A15="","",B15-C15)</x:f>
        <x:v>91</x:v>
      </x:c>
    </x:row>
    <x:row r="16" ht="22" customHeight="1">
      <x:c r="A16" s="11" t="n">
        <x:f>IF(A15="","",IF(A15+1&gt;IF(AND(COUNTIF('Repeat Detail'!$A$6:$A$1005,"Quality")=21,COUNTIF('Repeat Detail'!$A$6:$A$1005,"Menu")=12,COUNTIF('Repeat Detail'!$A$6:$A$1005,"Daily")=SUMIFS('Repeat Detail'!$O$6:$O$1005,'Repeat Detail'!$A$6:$A$1005,"Quality",'Repeat Detail'!$H$6:$H$1005,"Date span")),SUMIFS('Repeat Detail'!$O$6:$O$1005,'Repeat Detail'!$A$6:$A$1005,"Quality",'Repeat Detail'!$H$6:$H$1005,"Last date"),NA()),"",A15+1))</x:f>
        <x:v>46230</x:v>
      </x:c>
      <x:c r="B16" s="19" t="n">
        <x:f>IF($A16="","",SUMIFS('Repeat Detail'!$I$6:$I$1005,'Repeat Detail'!$A$6:$A$1005,"Daily",'Repeat Detail'!$B$6:$B$1005,$A16))</x:f>
        <x:v>5139</x:v>
      </x:c>
      <x:c r="C16" s="19" t="n">
        <x:f>IF($A16="","",SUMIFS('Repeat Detail'!$J$6:$J$1005,'Repeat Detail'!$A$6:$A$1005,"Daily",'Repeat Detail'!$B$6:$B$1005,$A16))</x:f>
        <x:v>4408</x:v>
      </x:c>
      <x:c r="D16" s="19" t="n">
        <x:f>IF($A16="","",SUMIFS('Repeat Detail'!$K$6:$K$1005,'Repeat Detail'!$A$6:$A$1005,"Daily",'Repeat Detail'!$B$6:$B$1005,$A16))</x:f>
        <x:v>3447</x:v>
      </x:c>
      <x:c r="E16" s="19" t="n">
        <x:f>IF($A16="","",SUMIFS('Repeat Detail'!$L$6:$L$1005,'Repeat Detail'!$A$6:$A$1005,"Daily",'Repeat Detail'!$B$6:$B$1005,$A16))</x:f>
        <x:v>718</x:v>
      </x:c>
      <x:c r="F16" s="21" t="n">
        <x:f>IF(A16="","",IF(D16=0,"n.a.",E16/D16))</x:f>
        <x:v>0.20829706991586888</x:v>
      </x:c>
      <x:c r="G16" s="19" t="n">
        <x:f>IF($A16="","",SUMIFS('Repeat Detail'!$M$6:$M$1005,'Repeat Detail'!$A$6:$A$1005,"Daily",'Repeat Detail'!$B$6:$B$1005,$A16))</x:f>
        <x:v>961</x:v>
      </x:c>
      <x:c r="H16" s="21" t="n">
        <x:f>IF(A16="","",IF(C16=0,"n.a.",G16/C16))</x:f>
        <x:v>0.2180127041742287</x:v>
      </x:c>
      <x:c r="I16" s="19" t="n">
        <x:f>IF($A16="","",SUMIFS('Repeat Detail'!$N$6:$N$1005,'Repeat Detail'!$A$6:$A$1005,"Daily",'Repeat Detail'!$B$6:$B$1005,$A16))</x:f>
        <x:v>1679</x:v>
      </x:c>
      <x:c r="J16" s="19" t="n">
        <x:f>IF(A16="","",B16-C16)</x:f>
        <x:v>731</x:v>
      </x:c>
    </x:row>
    <x:row r="17" ht="22" customHeight="1">
      <x:c r="A17" s="11" t="n">
        <x:f>IF(A16="","",IF(A16+1&gt;IF(AND(COUNTIF('Repeat Detail'!$A$6:$A$1005,"Quality")=21,COUNTIF('Repeat Detail'!$A$6:$A$1005,"Menu")=12,COUNTIF('Repeat Detail'!$A$6:$A$1005,"Daily")=SUMIFS('Repeat Detail'!$O$6:$O$1005,'Repeat Detail'!$A$6:$A$1005,"Quality",'Repeat Detail'!$H$6:$H$1005,"Date span")),SUMIFS('Repeat Detail'!$O$6:$O$1005,'Repeat Detail'!$A$6:$A$1005,"Quality",'Repeat Detail'!$H$6:$H$1005,"Last date"),NA()),"",A16+1))</x:f>
        <x:v>46231</x:v>
      </x:c>
      <x:c r="B17" s="19" t="n">
        <x:f>IF($A17="","",SUMIFS('Repeat Detail'!$I$6:$I$1005,'Repeat Detail'!$A$6:$A$1005,"Daily",'Repeat Detail'!$B$6:$B$1005,$A17))</x:f>
        <x:v>5407</x:v>
      </x:c>
      <x:c r="C17" s="19" t="n">
        <x:f>IF($A17="","",SUMIFS('Repeat Detail'!$J$6:$J$1005,'Repeat Detail'!$A$6:$A$1005,"Daily",'Repeat Detail'!$B$6:$B$1005,$A17))</x:f>
        <x:v>4695</x:v>
      </x:c>
      <x:c r="D17" s="19" t="n">
        <x:f>IF($A17="","",SUMIFS('Repeat Detail'!$K$6:$K$1005,'Repeat Detail'!$A$6:$A$1005,"Daily",'Repeat Detail'!$B$6:$B$1005,$A17))</x:f>
        <x:v>3532</x:v>
      </x:c>
      <x:c r="E17" s="19" t="n">
        <x:f>IF($A17="","",SUMIFS('Repeat Detail'!$L$6:$L$1005,'Repeat Detail'!$A$6:$A$1005,"Daily",'Repeat Detail'!$B$6:$B$1005,$A17))</x:f>
        <x:v>814</x:v>
      </x:c>
      <x:c r="F17" s="21" t="n">
        <x:f>IF(A17="","",IF(D17=0,"n.a.",E17/D17))</x:f>
        <x:v>0.2304643261608154</x:v>
      </x:c>
      <x:c r="G17" s="19" t="n">
        <x:f>IF($A17="","",SUMIFS('Repeat Detail'!$M$6:$M$1005,'Repeat Detail'!$A$6:$A$1005,"Daily",'Repeat Detail'!$B$6:$B$1005,$A17))</x:f>
        <x:v>1163</x:v>
      </x:c>
      <x:c r="H17" s="21" t="n">
        <x:f>IF(A17="","",IF(C17=0,"n.a.",G17/C17))</x:f>
        <x:v>0.24771033013844515</x:v>
      </x:c>
      <x:c r="I17" s="19" t="n">
        <x:f>IF($A17="","",SUMIFS('Repeat Detail'!$N$6:$N$1005,'Repeat Detail'!$A$6:$A$1005,"Daily",'Repeat Detail'!$B$6:$B$1005,$A17))</x:f>
        <x:v>1977</x:v>
      </x:c>
      <x:c r="J17" s="19" t="n">
        <x:f>IF(A17="","",B17-C17)</x:f>
        <x:v>712</x:v>
      </x:c>
    </x:row>
    <x:row r="18" ht="22" customHeight="1">
      <x:c r="A18" s="11" t="n">
        <x:f>IF(A17="","",IF(A17+1&gt;IF(AND(COUNTIF('Repeat Detail'!$A$6:$A$1005,"Quality")=21,COUNTIF('Repeat Detail'!$A$6:$A$1005,"Menu")=12,COUNTIF('Repeat Detail'!$A$6:$A$1005,"Daily")=SUMIFS('Repeat Detail'!$O$6:$O$1005,'Repeat Detail'!$A$6:$A$1005,"Quality",'Repeat Detail'!$H$6:$H$1005,"Date span")),SUMIFS('Repeat Detail'!$O$6:$O$1005,'Repeat Detail'!$A$6:$A$1005,"Quality",'Repeat Detail'!$H$6:$H$1005,"Last date"),NA()),"",A17+1))</x:f>
        <x:v>46232</x:v>
      </x:c>
      <x:c r="B18" s="19" t="n">
        <x:f>IF($A18="","",SUMIFS('Repeat Detail'!$I$6:$I$1005,'Repeat Detail'!$A$6:$A$1005,"Daily",'Repeat Detail'!$B$6:$B$1005,$A18))</x:f>
        <x:v>4807</x:v>
      </x:c>
      <x:c r="C18" s="19" t="n">
        <x:f>IF($A18="","",SUMIFS('Repeat Detail'!$J$6:$J$1005,'Repeat Detail'!$A$6:$A$1005,"Daily",'Repeat Detail'!$B$6:$B$1005,$A18))</x:f>
        <x:v>4149</x:v>
      </x:c>
      <x:c r="D18" s="19" t="n">
        <x:f>IF($A18="","",SUMIFS('Repeat Detail'!$K$6:$K$1005,'Repeat Detail'!$A$6:$A$1005,"Daily",'Repeat Detail'!$B$6:$B$1005,$A18))</x:f>
        <x:v>3291</x:v>
      </x:c>
      <x:c r="E18" s="19" t="n">
        <x:f>IF($A18="","",SUMIFS('Repeat Detail'!$L$6:$L$1005,'Repeat Detail'!$A$6:$A$1005,"Daily",'Repeat Detail'!$B$6:$B$1005,$A18))</x:f>
        <x:v>630</x:v>
      </x:c>
      <x:c r="F18" s="21" t="n">
        <x:f>IF(A18="","",IF(D18=0,"n.a.",E18/D18))</x:f>
        <x:v>0.19143117593436645</x:v>
      </x:c>
      <x:c r="G18" s="19" t="n">
        <x:f>IF($A18="","",SUMIFS('Repeat Detail'!$M$6:$M$1005,'Repeat Detail'!$A$6:$A$1005,"Daily",'Repeat Detail'!$B$6:$B$1005,$A18))</x:f>
        <x:v>858</x:v>
      </x:c>
      <x:c r="H18" s="21" t="n">
        <x:f>IF(A18="","",IF(C18=0,"n.a.",G18/C18))</x:f>
        <x:v>0.20679681851048445</x:v>
      </x:c>
      <x:c r="I18" s="19" t="n">
        <x:f>IF($A18="","",SUMIFS('Repeat Detail'!$N$6:$N$1005,'Repeat Detail'!$A$6:$A$1005,"Daily",'Repeat Detail'!$B$6:$B$1005,$A18))</x:f>
        <x:v>1488</x:v>
      </x:c>
      <x:c r="J18" s="19" t="n">
        <x:f>IF(A18="","",B18-C18)</x:f>
        <x:v>658</x:v>
      </x:c>
    </x:row>
    <x:row r="19" ht="22" customHeight="1">
      <x:c r="A19" s="11" t="n">
        <x:f>IF(A18="","",IF(A18+1&gt;IF(AND(COUNTIF('Repeat Detail'!$A$6:$A$1005,"Quality")=21,COUNTIF('Repeat Detail'!$A$6:$A$1005,"Menu")=12,COUNTIF('Repeat Detail'!$A$6:$A$1005,"Daily")=SUMIFS('Repeat Detail'!$O$6:$O$1005,'Repeat Detail'!$A$6:$A$1005,"Quality",'Repeat Detail'!$H$6:$H$1005,"Date span")),SUMIFS('Repeat Detail'!$O$6:$O$1005,'Repeat Detail'!$A$6:$A$1005,"Quality",'Repeat Detail'!$H$6:$H$1005,"Last date"),NA()),"",A18+1))</x:f>
        <x:v>46233</x:v>
      </x:c>
      <x:c r="B19" s="19" t="n">
        <x:f>IF($A19="","",SUMIFS('Repeat Detail'!$I$6:$I$1005,'Repeat Detail'!$A$6:$A$1005,"Daily",'Repeat Detail'!$B$6:$B$1005,$A19))</x:f>
        <x:v>5397</x:v>
      </x:c>
      <x:c r="C19" s="19" t="n">
        <x:f>IF($A19="","",SUMIFS('Repeat Detail'!$J$6:$J$1005,'Repeat Detail'!$A$6:$A$1005,"Daily",'Repeat Detail'!$B$6:$B$1005,$A19))</x:f>
        <x:v>4707</x:v>
      </x:c>
      <x:c r="D19" s="19" t="n">
        <x:f>IF($A19="","",SUMIFS('Repeat Detail'!$K$6:$K$1005,'Repeat Detail'!$A$6:$A$1005,"Daily",'Repeat Detail'!$B$6:$B$1005,$A19))</x:f>
        <x:v>3701</x:v>
      </x:c>
      <x:c r="E19" s="19" t="n">
        <x:f>IF($A19="","",SUMIFS('Repeat Detail'!$L$6:$L$1005,'Repeat Detail'!$A$6:$A$1005,"Daily",'Repeat Detail'!$B$6:$B$1005,$A19))</x:f>
        <x:v>741</x:v>
      </x:c>
      <x:c r="F19" s="21" t="n">
        <x:f>IF(A19="","",IF(D19=0,"n.a.",E19/D19))</x:f>
        <x:v>0.2002161577951905</x:v>
      </x:c>
      <x:c r="G19" s="19" t="n">
        <x:f>IF($A19="","",SUMIFS('Repeat Detail'!$M$6:$M$1005,'Repeat Detail'!$A$6:$A$1005,"Daily",'Repeat Detail'!$B$6:$B$1005,$A19))</x:f>
        <x:v>1006</x:v>
      </x:c>
      <x:c r="H19" s="21" t="n">
        <x:f>IF(A19="","",IF(C19=0,"n.a.",G19/C19))</x:f>
        <x:v>0.21372424049288294</x:v>
      </x:c>
      <x:c r="I19" s="19" t="n">
        <x:f>IF($A19="","",SUMIFS('Repeat Detail'!$N$6:$N$1005,'Repeat Detail'!$A$6:$A$1005,"Daily",'Repeat Detail'!$B$6:$B$1005,$A19))</x:f>
        <x:v>1747</x:v>
      </x:c>
      <x:c r="J19" s="19" t="n">
        <x:f>IF(A19="","",B19-C19)</x:f>
        <x:v>690</x:v>
      </x:c>
    </x:row>
    <x:row r="20" ht="22" customHeight="1">
      <x:c r="A20" s="11" t="n">
        <x:f>IF(A19="","",IF(A19+1&gt;IF(AND(COUNTIF('Repeat Detail'!$A$6:$A$1005,"Quality")=21,COUNTIF('Repeat Detail'!$A$6:$A$1005,"Menu")=12,COUNTIF('Repeat Detail'!$A$6:$A$1005,"Daily")=SUMIFS('Repeat Detail'!$O$6:$O$1005,'Repeat Detail'!$A$6:$A$1005,"Quality",'Repeat Detail'!$H$6:$H$1005,"Date span")),SUMIFS('Repeat Detail'!$O$6:$O$1005,'Repeat Detail'!$A$6:$A$1005,"Quality",'Repeat Detail'!$H$6:$H$1005,"Last date"),NA()),"",A19+1))</x:f>
        <x:v>46234</x:v>
      </x:c>
      <x:c r="B20" s="19" t="n">
        <x:f>IF($A20="","",SUMIFS('Repeat Detail'!$I$6:$I$1005,'Repeat Detail'!$A$6:$A$1005,"Daily",'Repeat Detail'!$B$6:$B$1005,$A20))</x:f>
        <x:v>7130</x:v>
      </x:c>
      <x:c r="C20" s="19" t="n">
        <x:f>IF($A20="","",SUMIFS('Repeat Detail'!$J$6:$J$1005,'Repeat Detail'!$A$6:$A$1005,"Daily",'Repeat Detail'!$B$6:$B$1005,$A20))</x:f>
        <x:v>6381</x:v>
      </x:c>
      <x:c r="D20" s="19" t="n">
        <x:f>IF($A20="","",SUMIFS('Repeat Detail'!$K$6:$K$1005,'Repeat Detail'!$A$6:$A$1005,"Daily",'Repeat Detail'!$B$6:$B$1005,$A20))</x:f>
        <x:v>5076</x:v>
      </x:c>
      <x:c r="E20" s="19" t="n">
        <x:f>IF($A20="","",SUMIFS('Repeat Detail'!$L$6:$L$1005,'Repeat Detail'!$A$6:$A$1005,"Daily",'Repeat Detail'!$B$6:$B$1005,$A20))</x:f>
        <x:v>976</x:v>
      </x:c>
      <x:c r="F20" s="21" t="n">
        <x:f>IF(A20="","",IF(D20=0,"n.a.",E20/D20))</x:f>
        <x:v>0.19227738376674547</x:v>
      </x:c>
      <x:c r="G20" s="19" t="n">
        <x:f>IF($A20="","",SUMIFS('Repeat Detail'!$M$6:$M$1005,'Repeat Detail'!$A$6:$A$1005,"Daily",'Repeat Detail'!$B$6:$B$1005,$A20))</x:f>
        <x:v>1305</x:v>
      </x:c>
      <x:c r="H20" s="21" t="n">
        <x:f>IF(A20="","",IF(C20=0,"n.a.",G20/C20))</x:f>
        <x:v>0.20451339915373765</x:v>
      </x:c>
      <x:c r="I20" s="19" t="n">
        <x:f>IF($A20="","",SUMIFS('Repeat Detail'!$N$6:$N$1005,'Repeat Detail'!$A$6:$A$1005,"Daily",'Repeat Detail'!$B$6:$B$1005,$A20))</x:f>
        <x:v>2281</x:v>
      </x:c>
      <x:c r="J20" s="19" t="n">
        <x:f>IF(A20="","",B20-C20)</x:f>
        <x:v>749</x:v>
      </x:c>
    </x:row>
    <x:row r="21" ht="22" customHeight="1">
      <x:c r="A21" s="11" t="n">
        <x:f>IF(A20="","",IF(A20+1&gt;IF(AND(COUNTIF('Repeat Detail'!$A$6:$A$1005,"Quality")=21,COUNTIF('Repeat Detail'!$A$6:$A$1005,"Menu")=12,COUNTIF('Repeat Detail'!$A$6:$A$1005,"Daily")=SUMIFS('Repeat Detail'!$O$6:$O$1005,'Repeat Detail'!$A$6:$A$1005,"Quality",'Repeat Detail'!$H$6:$H$1005,"Date span")),SUMIFS('Repeat Detail'!$O$6:$O$1005,'Repeat Detail'!$A$6:$A$1005,"Quality",'Repeat Detail'!$H$6:$H$1005,"Last date"),NA()),"",A20+1))</x:f>
        <x:v>46235</x:v>
      </x:c>
      <x:c r="B21" s="19" t="n">
        <x:f>IF($A21="","",SUMIFS('Repeat Detail'!$I$6:$I$1005,'Repeat Detail'!$A$6:$A$1005,"Daily",'Repeat Detail'!$B$6:$B$1005,$A21))</x:f>
        <x:v>3302</x:v>
      </x:c>
      <x:c r="C21" s="19" t="n">
        <x:f>IF($A21="","",SUMIFS('Repeat Detail'!$J$6:$J$1005,'Repeat Detail'!$A$6:$A$1005,"Daily",'Repeat Detail'!$B$6:$B$1005,$A21))</x:f>
        <x:v>3031</x:v>
      </x:c>
      <x:c r="D21" s="19" t="n">
        <x:f>IF($A21="","",SUMIFS('Repeat Detail'!$K$6:$K$1005,'Repeat Detail'!$A$6:$A$1005,"Daily",'Repeat Detail'!$B$6:$B$1005,$A21))</x:f>
        <x:v>2494</x:v>
      </x:c>
      <x:c r="E21" s="19" t="n">
        <x:f>IF($A21="","",SUMIFS('Repeat Detail'!$L$6:$L$1005,'Repeat Detail'!$A$6:$A$1005,"Daily",'Repeat Detail'!$B$6:$B$1005,$A21))</x:f>
        <x:v>407</x:v>
      </x:c>
      <x:c r="F21" s="21" t="n">
        <x:f>IF(A21="","",IF(D21=0,"n.a.",E21/D21))</x:f>
        <x:v>0.1631916599839615</x:v>
      </x:c>
      <x:c r="G21" s="19" t="n">
        <x:f>IF($A21="","",SUMIFS('Repeat Detail'!$M$6:$M$1005,'Repeat Detail'!$A$6:$A$1005,"Daily",'Repeat Detail'!$B$6:$B$1005,$A21))</x:f>
        <x:v>537</x:v>
      </x:c>
      <x:c r="H21" s="21" t="n">
        <x:f>IF(A21="","",IF(C21=0,"n.a.",G21/C21))</x:f>
        <x:v>0.17716925107225337</x:v>
      </x:c>
      <x:c r="I21" s="19" t="n">
        <x:f>IF($A21="","",SUMIFS('Repeat Detail'!$N$6:$N$1005,'Repeat Detail'!$A$6:$A$1005,"Daily",'Repeat Detail'!$B$6:$B$1005,$A21))</x:f>
        <x:v>944</x:v>
      </x:c>
      <x:c r="J21" s="19" t="n">
        <x:f>IF(A21="","",B21-C21)</x:f>
        <x:v>271</x:v>
      </x:c>
    </x:row>
    <x:row r="22" ht="22" customHeight="1">
      <x:c r="A22" s="11" t="n">
        <x:f>IF(A21="","",IF(A21+1&gt;IF(AND(COUNTIF('Repeat Detail'!$A$6:$A$1005,"Quality")=21,COUNTIF('Repeat Detail'!$A$6:$A$1005,"Menu")=12,COUNTIF('Repeat Detail'!$A$6:$A$1005,"Daily")=SUMIFS('Repeat Detail'!$O$6:$O$1005,'Repeat Detail'!$A$6:$A$1005,"Quality",'Repeat Detail'!$H$6:$H$1005,"Date span")),SUMIFS('Repeat Detail'!$O$6:$O$1005,'Repeat Detail'!$A$6:$A$1005,"Quality",'Repeat Detail'!$H$6:$H$1005,"Last date"),NA()),"",A21+1))</x:f>
        <x:v>46236</x:v>
      </x:c>
      <x:c r="B22" s="19" t="n">
        <x:f>IF($A22="","",SUMIFS('Repeat Detail'!$I$6:$I$1005,'Repeat Detail'!$A$6:$A$1005,"Daily",'Repeat Detail'!$B$6:$B$1005,$A22))</x:f>
        <x:v>1285</x:v>
      </x:c>
      <x:c r="C22" s="19" t="n">
        <x:f>IF($A22="","",SUMIFS('Repeat Detail'!$J$6:$J$1005,'Repeat Detail'!$A$6:$A$1005,"Daily",'Repeat Detail'!$B$6:$B$1005,$A22))</x:f>
        <x:v>1164</x:v>
      </x:c>
      <x:c r="D22" s="19" t="n">
        <x:f>IF($A22="","",SUMIFS('Repeat Detail'!$K$6:$K$1005,'Repeat Detail'!$A$6:$A$1005,"Daily",'Repeat Detail'!$B$6:$B$1005,$A22))</x:f>
        <x:v>1000</x:v>
      </x:c>
      <x:c r="E22" s="19" t="n">
        <x:f>IF($A22="","",SUMIFS('Repeat Detail'!$L$6:$L$1005,'Repeat Detail'!$A$6:$A$1005,"Daily",'Repeat Detail'!$B$6:$B$1005,$A22))</x:f>
        <x:v>130</x:v>
      </x:c>
      <x:c r="F22" s="21" t="n">
        <x:f>IF(A22="","",IF(D22=0,"n.a.",E22/D22))</x:f>
        <x:v>0.13</x:v>
      </x:c>
      <x:c r="G22" s="19" t="n">
        <x:f>IF($A22="","",SUMIFS('Repeat Detail'!$M$6:$M$1005,'Repeat Detail'!$A$6:$A$1005,"Daily",'Repeat Detail'!$B$6:$B$1005,$A22))</x:f>
        <x:v>164</x:v>
      </x:c>
      <x:c r="H22" s="21" t="n">
        <x:f>IF(A22="","",IF(C22=0,"n.a.",G22/C22))</x:f>
        <x:v>0.140893470790378</x:v>
      </x:c>
      <x:c r="I22" s="19" t="n">
        <x:f>IF($A22="","",SUMIFS('Repeat Detail'!$N$6:$N$1005,'Repeat Detail'!$A$6:$A$1005,"Daily",'Repeat Detail'!$B$6:$B$1005,$A22))</x:f>
        <x:v>294</x:v>
      </x:c>
      <x:c r="J22" s="19" t="n">
        <x:f>IF(A22="","",B22-C22)</x:f>
        <x:v>121</x:v>
      </x:c>
    </x:row>
    <x:row r="23" ht="22" customHeight="1">
      <x:c r="A23" s="11" t="n">
        <x:f>IF(A22="","",IF(A22+1&gt;IF(AND(COUNTIF('Repeat Detail'!$A$6:$A$1005,"Quality")=21,COUNTIF('Repeat Detail'!$A$6:$A$1005,"Menu")=12,COUNTIF('Repeat Detail'!$A$6:$A$1005,"Daily")=SUMIFS('Repeat Detail'!$O$6:$O$1005,'Repeat Detail'!$A$6:$A$1005,"Quality",'Repeat Detail'!$H$6:$H$1005,"Date span")),SUMIFS('Repeat Detail'!$O$6:$O$1005,'Repeat Detail'!$A$6:$A$1005,"Quality",'Repeat Detail'!$H$6:$H$1005,"Last date"),NA()),"",A22+1))</x:f>
        <x:v>46237</x:v>
      </x:c>
      <x:c r="B23" s="19" t="n">
        <x:f>IF($A23="","",SUMIFS('Repeat Detail'!$I$6:$I$1005,'Repeat Detail'!$A$6:$A$1005,"Daily",'Repeat Detail'!$B$6:$B$1005,$A23))</x:f>
        <x:v>8653</x:v>
      </x:c>
      <x:c r="C23" s="19" t="n">
        <x:f>IF($A23="","",SUMIFS('Repeat Detail'!$J$6:$J$1005,'Repeat Detail'!$A$6:$A$1005,"Daily",'Repeat Detail'!$B$6:$B$1005,$A23))</x:f>
        <x:v>7763</x:v>
      </x:c>
      <x:c r="D23" s="19" t="n">
        <x:f>IF($A23="","",SUMIFS('Repeat Detail'!$K$6:$K$1005,'Repeat Detail'!$A$6:$A$1005,"Daily",'Repeat Detail'!$B$6:$B$1005,$A23))</x:f>
        <x:v>6133</x:v>
      </x:c>
      <x:c r="E23" s="19" t="n">
        <x:f>IF($A23="","",SUMIFS('Repeat Detail'!$L$6:$L$1005,'Repeat Detail'!$A$6:$A$1005,"Daily",'Repeat Detail'!$B$6:$B$1005,$A23))</x:f>
        <x:v>1193</x:v>
      </x:c>
      <x:c r="F23" s="21" t="n">
        <x:f>IF(A23="","",IF(D23=0,"n.a.",E23/D23))</x:f>
        <x:v>0.19452144138268385</x:v>
      </x:c>
      <x:c r="G23" s="19" t="n">
        <x:f>IF($A23="","",SUMIFS('Repeat Detail'!$M$6:$M$1005,'Repeat Detail'!$A$6:$A$1005,"Daily",'Repeat Detail'!$B$6:$B$1005,$A23))</x:f>
        <x:v>1630</x:v>
      </x:c>
      <x:c r="H23" s="21" t="n">
        <x:f>IF(A23="","",IF(C23=0,"n.a.",G23/C23))</x:f>
        <x:v>0.2099703722787582</x:v>
      </x:c>
      <x:c r="I23" s="19" t="n">
        <x:f>IF($A23="","",SUMIFS('Repeat Detail'!$N$6:$N$1005,'Repeat Detail'!$A$6:$A$1005,"Daily",'Repeat Detail'!$B$6:$B$1005,$A23))</x:f>
        <x:v>2823</x:v>
      </x:c>
      <x:c r="J23" s="19" t="n">
        <x:f>IF(A23="","",B23-C23)</x:f>
        <x:v>890</x:v>
      </x:c>
    </x:row>
    <x:row r="24" ht="22" customHeight="1">
      <x:c r="A24" s="11" t="n">
        <x:f>IF(A23="","",IF(A23+1&gt;IF(AND(COUNTIF('Repeat Detail'!$A$6:$A$1005,"Quality")=21,COUNTIF('Repeat Detail'!$A$6:$A$1005,"Menu")=12,COUNTIF('Repeat Detail'!$A$6:$A$1005,"Daily")=SUMIFS('Repeat Detail'!$O$6:$O$1005,'Repeat Detail'!$A$6:$A$1005,"Quality",'Repeat Detail'!$H$6:$H$1005,"Date span")),SUMIFS('Repeat Detail'!$O$6:$O$1005,'Repeat Detail'!$A$6:$A$1005,"Quality",'Repeat Detail'!$H$6:$H$1005,"Last date"),NA()),"",A23+1))</x:f>
        <x:v>46238</x:v>
      </x:c>
      <x:c r="B24" s="19" t="n">
        <x:f>IF($A24="","",SUMIFS('Repeat Detail'!$I$6:$I$1005,'Repeat Detail'!$A$6:$A$1005,"Daily",'Repeat Detail'!$B$6:$B$1005,$A24))</x:f>
        <x:v>6755</x:v>
      </x:c>
      <x:c r="C24" s="19" t="n">
        <x:f>IF($A24="","",SUMIFS('Repeat Detail'!$J$6:$J$1005,'Repeat Detail'!$A$6:$A$1005,"Daily",'Repeat Detail'!$B$6:$B$1005,$A24))</x:f>
        <x:v>5842</x:v>
      </x:c>
      <x:c r="D24" s="19" t="n">
        <x:f>IF($A24="","",SUMIFS('Repeat Detail'!$K$6:$K$1005,'Repeat Detail'!$A$6:$A$1005,"Daily",'Repeat Detail'!$B$6:$B$1005,$A24))</x:f>
        <x:v>4600</x:v>
      </x:c>
      <x:c r="E24" s="19" t="n">
        <x:f>IF($A24="","",SUMIFS('Repeat Detail'!$L$6:$L$1005,'Repeat Detail'!$A$6:$A$1005,"Daily",'Repeat Detail'!$B$6:$B$1005,$A24))</x:f>
        <x:v>915</x:v>
      </x:c>
      <x:c r="F24" s="21" t="n">
        <x:f>IF(A24="","",IF(D24=0,"n.a.",E24/D24))</x:f>
        <x:v>0.19891304347826086</x:v>
      </x:c>
      <x:c r="G24" s="19" t="n">
        <x:f>IF($A24="","",SUMIFS('Repeat Detail'!$M$6:$M$1005,'Repeat Detail'!$A$6:$A$1005,"Daily",'Repeat Detail'!$B$6:$B$1005,$A24))</x:f>
        <x:v>1242</x:v>
      </x:c>
      <x:c r="H24" s="21" t="n">
        <x:f>IF(A24="","",IF(C24=0,"n.a.",G24/C24))</x:f>
        <x:v>0.2125984251968504</x:v>
      </x:c>
      <x:c r="I24" s="19" t="n">
        <x:f>IF($A24="","",SUMIFS('Repeat Detail'!$N$6:$N$1005,'Repeat Detail'!$A$6:$A$1005,"Daily",'Repeat Detail'!$B$6:$B$1005,$A24))</x:f>
        <x:v>2157</x:v>
      </x:c>
      <x:c r="J24" s="19" t="n">
        <x:f>IF(A24="","",B24-C24)</x:f>
        <x:v>913</x:v>
      </x:c>
    </x:row>
    <x:row r="25" ht="22" customHeight="1">
      <x:c r="A25" s="11" t="n">
        <x:f>IF(A24="","",IF(A24+1&gt;IF(AND(COUNTIF('Repeat Detail'!$A$6:$A$1005,"Quality")=21,COUNTIF('Repeat Detail'!$A$6:$A$1005,"Menu")=12,COUNTIF('Repeat Detail'!$A$6:$A$1005,"Daily")=SUMIFS('Repeat Detail'!$O$6:$O$1005,'Repeat Detail'!$A$6:$A$1005,"Quality",'Repeat Detail'!$H$6:$H$1005,"Date span")),SUMIFS('Repeat Detail'!$O$6:$O$1005,'Repeat Detail'!$A$6:$A$1005,"Quality",'Repeat Detail'!$H$6:$H$1005,"Last date"),NA()),"",A24+1))</x:f>
        <x:v>46239</x:v>
      </x:c>
      <x:c r="B25" s="19" t="n">
        <x:f>IF($A25="","",SUMIFS('Repeat Detail'!$I$6:$I$1005,'Repeat Detail'!$A$6:$A$1005,"Daily",'Repeat Detail'!$B$6:$B$1005,$A25))</x:f>
        <x:v>6414</x:v>
      </x:c>
      <x:c r="C25" s="19" t="n">
        <x:f>IF($A25="","",SUMIFS('Repeat Detail'!$J$6:$J$1005,'Repeat Detail'!$A$6:$A$1005,"Daily",'Repeat Detail'!$B$6:$B$1005,$A25))</x:f>
        <x:v>5605</x:v>
      </x:c>
      <x:c r="D25" s="19" t="n">
        <x:f>IF($A25="","",SUMIFS('Repeat Detail'!$K$6:$K$1005,'Repeat Detail'!$A$6:$A$1005,"Daily",'Repeat Detail'!$B$6:$B$1005,$A25))</x:f>
        <x:v>4347</x:v>
      </x:c>
      <x:c r="E25" s="19" t="n">
        <x:f>IF($A25="","",SUMIFS('Repeat Detail'!$L$6:$L$1005,'Repeat Detail'!$A$6:$A$1005,"Daily",'Repeat Detail'!$B$6:$B$1005,$A25))</x:f>
        <x:v>879</x:v>
      </x:c>
      <x:c r="F25" s="21" t="n">
        <x:f>IF(A25="","",IF(D25=0,"n.a.",E25/D25))</x:f>
        <x:v>0.20220841959972394</x:v>
      </x:c>
      <x:c r="G25" s="19" t="n">
        <x:f>IF($A25="","",SUMIFS('Repeat Detail'!$M$6:$M$1005,'Repeat Detail'!$A$6:$A$1005,"Daily",'Repeat Detail'!$B$6:$B$1005,$A25))</x:f>
        <x:v>1258</x:v>
      </x:c>
      <x:c r="H25" s="21" t="n">
        <x:f>IF(A25="","",IF(C25=0,"n.a.",G25/C25))</x:f>
        <x:v>0.22444246208742194</x:v>
      </x:c>
      <x:c r="I25" s="19" t="n">
        <x:f>IF($A25="","",SUMIFS('Repeat Detail'!$N$6:$N$1005,'Repeat Detail'!$A$6:$A$1005,"Daily",'Repeat Detail'!$B$6:$B$1005,$A25))</x:f>
        <x:v>2137</x:v>
      </x:c>
      <x:c r="J25" s="19" t="n">
        <x:f>IF(A25="","",B25-C25)</x:f>
        <x:v>809</x:v>
      </x:c>
    </x:row>
    <x:row r="26" ht="22" customHeight="1">
      <x:c r="A26" s="11" t="n">
        <x:f>IF(A25="","",IF(A25+1&gt;IF(AND(COUNTIF('Repeat Detail'!$A$6:$A$1005,"Quality")=21,COUNTIF('Repeat Detail'!$A$6:$A$1005,"Menu")=12,COUNTIF('Repeat Detail'!$A$6:$A$1005,"Daily")=SUMIFS('Repeat Detail'!$O$6:$O$1005,'Repeat Detail'!$A$6:$A$1005,"Quality",'Repeat Detail'!$H$6:$H$1005,"Date span")),SUMIFS('Repeat Detail'!$O$6:$O$1005,'Repeat Detail'!$A$6:$A$1005,"Quality",'Repeat Detail'!$H$6:$H$1005,"Last date"),NA()),"",A25+1))</x:f>
        <x:v>46240</x:v>
      </x:c>
      <x:c r="B26" s="19" t="n">
        <x:f>IF($A26="","",SUMIFS('Repeat Detail'!$I$6:$I$1005,'Repeat Detail'!$A$6:$A$1005,"Daily",'Repeat Detail'!$B$6:$B$1005,$A26))</x:f>
        <x:v>5869</x:v>
      </x:c>
      <x:c r="C26" s="19" t="n">
        <x:f>IF($A26="","",SUMIFS('Repeat Detail'!$J$6:$J$1005,'Repeat Detail'!$A$6:$A$1005,"Daily",'Repeat Detail'!$B$6:$B$1005,$A26))</x:f>
        <x:v>5054</x:v>
      </x:c>
      <x:c r="D26" s="19" t="n">
        <x:f>IF($A26="","",SUMIFS('Repeat Detail'!$K$6:$K$1005,'Repeat Detail'!$A$6:$A$1005,"Daily",'Repeat Detail'!$B$6:$B$1005,$A26))</x:f>
        <x:v>4040</x:v>
      </x:c>
      <x:c r="E26" s="19" t="n">
        <x:f>IF($A26="","",SUMIFS('Repeat Detail'!$L$6:$L$1005,'Repeat Detail'!$A$6:$A$1005,"Daily",'Repeat Detail'!$B$6:$B$1005,$A26))</x:f>
        <x:v>758</x:v>
      </x:c>
      <x:c r="F26" s="21" t="n">
        <x:f>IF(A26="","",IF(D26=0,"n.a.",E26/D26))</x:f>
        <x:v>0.18762376237623762</x:v>
      </x:c>
      <x:c r="G26" s="19" t="n">
        <x:f>IF($A26="","",SUMIFS('Repeat Detail'!$M$6:$M$1005,'Repeat Detail'!$A$6:$A$1005,"Daily",'Repeat Detail'!$B$6:$B$1005,$A26))</x:f>
        <x:v>1014</x:v>
      </x:c>
      <x:c r="H26" s="21" t="n">
        <x:f>IF(A26="","",IF(C26=0,"n.a.",G26/C26))</x:f>
        <x:v>0.20063316185199842</x:v>
      </x:c>
      <x:c r="I26" s="19" t="n">
        <x:f>IF($A26="","",SUMIFS('Repeat Detail'!$N$6:$N$1005,'Repeat Detail'!$A$6:$A$1005,"Daily",'Repeat Detail'!$B$6:$B$1005,$A26))</x:f>
        <x:v>1772</x:v>
      </x:c>
      <x:c r="J26" s="19" t="n">
        <x:f>IF(A26="","",B26-C26)</x:f>
        <x:v>815</x:v>
      </x:c>
    </x:row>
    <x:row r="27" ht="22" customHeight="1">
      <x:c r="A27" s="11" t="n">
        <x:f>IF(A26="","",IF(A26+1&gt;IF(AND(COUNTIF('Repeat Detail'!$A$6:$A$1005,"Quality")=21,COUNTIF('Repeat Detail'!$A$6:$A$1005,"Menu")=12,COUNTIF('Repeat Detail'!$A$6:$A$1005,"Daily")=SUMIFS('Repeat Detail'!$O$6:$O$1005,'Repeat Detail'!$A$6:$A$1005,"Quality",'Repeat Detail'!$H$6:$H$1005,"Date span")),SUMIFS('Repeat Detail'!$O$6:$O$1005,'Repeat Detail'!$A$6:$A$1005,"Quality",'Repeat Detail'!$H$6:$H$1005,"Last date"),NA()),"",A26+1))</x:f>
        <x:v>46241</x:v>
      </x:c>
      <x:c r="B27" s="19" t="n">
        <x:f>IF($A27="","",SUMIFS('Repeat Detail'!$I$6:$I$1005,'Repeat Detail'!$A$6:$A$1005,"Daily",'Repeat Detail'!$B$6:$B$1005,$A27))</x:f>
        <x:v>5914</x:v>
      </x:c>
      <x:c r="C27" s="19" t="n">
        <x:f>IF($A27="","",SUMIFS('Repeat Detail'!$J$6:$J$1005,'Repeat Detail'!$A$6:$A$1005,"Daily",'Repeat Detail'!$B$6:$B$1005,$A27))</x:f>
        <x:v>5021</x:v>
      </x:c>
      <x:c r="D27" s="19" t="n">
        <x:f>IF($A27="","",SUMIFS('Repeat Detail'!$K$6:$K$1005,'Repeat Detail'!$A$6:$A$1005,"Daily",'Repeat Detail'!$B$6:$B$1005,$A27))</x:f>
        <x:v>4027</x:v>
      </x:c>
      <x:c r="E27" s="19" t="n">
        <x:f>IF($A27="","",SUMIFS('Repeat Detail'!$L$6:$L$1005,'Repeat Detail'!$A$6:$A$1005,"Daily",'Repeat Detail'!$B$6:$B$1005,$A27))</x:f>
        <x:v>736</x:v>
      </x:c>
      <x:c r="F27" s="21" t="n">
        <x:f>IF(A27="","",IF(D27=0,"n.a.",E27/D27))</x:f>
        <x:v>0.18276632729078718</x:v>
      </x:c>
      <x:c r="G27" s="19" t="n">
        <x:f>IF($A27="","",SUMIFS('Repeat Detail'!$M$6:$M$1005,'Repeat Detail'!$A$6:$A$1005,"Daily",'Repeat Detail'!$B$6:$B$1005,$A27))</x:f>
        <x:v>994</x:v>
      </x:c>
      <x:c r="H27" s="21" t="n">
        <x:f>IF(A27="","",IF(C27=0,"n.a.",G27/C27))</x:f>
        <x:v>0.1979685321649074</x:v>
      </x:c>
      <x:c r="I27" s="19" t="n">
        <x:f>IF($A27="","",SUMIFS('Repeat Detail'!$N$6:$N$1005,'Repeat Detail'!$A$6:$A$1005,"Daily",'Repeat Detail'!$B$6:$B$1005,$A27))</x:f>
        <x:v>1730</x:v>
      </x:c>
      <x:c r="J27" s="19" t="n">
        <x:f>IF(A27="","",B27-C27)</x:f>
        <x:v>893</x:v>
      </x:c>
    </x:row>
    <x:row r="28" ht="22" customHeight="1">
      <x:c r="A28" s="11" t="n">
        <x:f>IF(A27="","",IF(A27+1&gt;IF(AND(COUNTIF('Repeat Detail'!$A$6:$A$1005,"Quality")=21,COUNTIF('Repeat Detail'!$A$6:$A$1005,"Menu")=12,COUNTIF('Repeat Detail'!$A$6:$A$1005,"Daily")=SUMIFS('Repeat Detail'!$O$6:$O$1005,'Repeat Detail'!$A$6:$A$1005,"Quality",'Repeat Detail'!$H$6:$H$1005,"Date span")),SUMIFS('Repeat Detail'!$O$6:$O$1005,'Repeat Detail'!$A$6:$A$1005,"Quality",'Repeat Detail'!$H$6:$H$1005,"Last date"),NA()),"",A27+1))</x:f>
        <x:v>46242</x:v>
      </x:c>
      <x:c r="B28" s="19" t="n">
        <x:f>IF($A28="","",SUMIFS('Repeat Detail'!$I$6:$I$1005,'Repeat Detail'!$A$6:$A$1005,"Daily",'Repeat Detail'!$B$6:$B$1005,$A28))</x:f>
        <x:v>1733</x:v>
      </x:c>
      <x:c r="C28" s="19" t="n">
        <x:f>IF($A28="","",SUMIFS('Repeat Detail'!$J$6:$J$1005,'Repeat Detail'!$A$6:$A$1005,"Daily",'Repeat Detail'!$B$6:$B$1005,$A28))</x:f>
        <x:v>1483</x:v>
      </x:c>
      <x:c r="D28" s="19" t="n">
        <x:f>IF($A28="","",SUMIFS('Repeat Detail'!$K$6:$K$1005,'Repeat Detail'!$A$6:$A$1005,"Daily",'Repeat Detail'!$B$6:$B$1005,$A28))</x:f>
        <x:v>1244</x:v>
      </x:c>
      <x:c r="E28" s="19" t="n">
        <x:f>IF($A28="","",SUMIFS('Repeat Detail'!$L$6:$L$1005,'Repeat Detail'!$A$6:$A$1005,"Daily",'Repeat Detail'!$B$6:$B$1005,$A28))</x:f>
        <x:v>192</x:v>
      </x:c>
      <x:c r="F28" s="21" t="n">
        <x:f>IF(A28="","",IF(D28=0,"n.a.",E28/D28))</x:f>
        <x:v>0.15434083601286175</x:v>
      </x:c>
      <x:c r="G28" s="19" t="n">
        <x:f>IF($A28="","",SUMIFS('Repeat Detail'!$M$6:$M$1005,'Repeat Detail'!$A$6:$A$1005,"Daily",'Repeat Detail'!$B$6:$B$1005,$A28))</x:f>
        <x:v>239</x:v>
      </x:c>
      <x:c r="H28" s="21" t="n">
        <x:f>IF(A28="","",IF(C28=0,"n.a.",G28/C28))</x:f>
        <x:v>0.16115981119352663</x:v>
      </x:c>
      <x:c r="I28" s="19" t="n">
        <x:f>IF($A28="","",SUMIFS('Repeat Detail'!$N$6:$N$1005,'Repeat Detail'!$A$6:$A$1005,"Daily",'Repeat Detail'!$B$6:$B$1005,$A28))</x:f>
        <x:v>431</x:v>
      </x:c>
      <x:c r="J28" s="19" t="n">
        <x:f>IF(A28="","",B28-C28)</x:f>
        <x:v>250</x:v>
      </x:c>
    </x:row>
    <x:row r="29" ht="22" customHeight="1">
      <x:c r="A29" s="11" t="n">
        <x:f>IF(A28="","",IF(A28+1&gt;IF(AND(COUNTIF('Repeat Detail'!$A$6:$A$1005,"Quality")=21,COUNTIF('Repeat Detail'!$A$6:$A$1005,"Menu")=12,COUNTIF('Repeat Detail'!$A$6:$A$1005,"Daily")=SUMIFS('Repeat Detail'!$O$6:$O$1005,'Repeat Detail'!$A$6:$A$1005,"Quality",'Repeat Detail'!$H$6:$H$1005,"Date span")),SUMIFS('Repeat Detail'!$O$6:$O$1005,'Repeat Detail'!$A$6:$A$1005,"Quality",'Repeat Detail'!$H$6:$H$1005,"Last date"),NA()),"",A28+1))</x:f>
        <x:v>46243</x:v>
      </x:c>
      <x:c r="B29" s="19" t="n">
        <x:f>IF($A29="","",SUMIFS('Repeat Detail'!$I$6:$I$1005,'Repeat Detail'!$A$6:$A$1005,"Daily",'Repeat Detail'!$B$6:$B$1005,$A29))</x:f>
        <x:v>782</x:v>
      </x:c>
      <x:c r="C29" s="19" t="n">
        <x:f>IF($A29="","",SUMIFS('Repeat Detail'!$J$6:$J$1005,'Repeat Detail'!$A$6:$A$1005,"Daily",'Repeat Detail'!$B$6:$B$1005,$A29))</x:f>
        <x:v>651</x:v>
      </x:c>
      <x:c r="D29" s="19" t="n">
        <x:f>IF($A29="","",SUMIFS('Repeat Detail'!$K$6:$K$1005,'Repeat Detail'!$A$6:$A$1005,"Daily",'Repeat Detail'!$B$6:$B$1005,$A29))</x:f>
        <x:v>552</x:v>
      </x:c>
      <x:c r="E29" s="19" t="n">
        <x:f>IF($A29="","",SUMIFS('Repeat Detail'!$L$6:$L$1005,'Repeat Detail'!$A$6:$A$1005,"Daily",'Repeat Detail'!$B$6:$B$1005,$A29))</x:f>
        <x:v>78</x:v>
      </x:c>
      <x:c r="F29" s="21" t="n">
        <x:f>IF(A29="","",IF(D29=0,"n.a.",E29/D29))</x:f>
        <x:v>0.14130434782608695</x:v>
      </x:c>
      <x:c r="G29" s="19" t="n">
        <x:f>IF($A29="","",SUMIFS('Repeat Detail'!$M$6:$M$1005,'Repeat Detail'!$A$6:$A$1005,"Daily",'Repeat Detail'!$B$6:$B$1005,$A29))</x:f>
        <x:v>99</x:v>
      </x:c>
      <x:c r="H29" s="21" t="n">
        <x:f>IF(A29="","",IF(C29=0,"n.a.",G29/C29))</x:f>
        <x:v>0.15207373271889402</x:v>
      </x:c>
      <x:c r="I29" s="19" t="n">
        <x:f>IF($A29="","",SUMIFS('Repeat Detail'!$N$6:$N$1005,'Repeat Detail'!$A$6:$A$1005,"Daily",'Repeat Detail'!$B$6:$B$1005,$A29))</x:f>
        <x:v>177</x:v>
      </x:c>
      <x:c r="J29" s="19" t="n">
        <x:f>IF(A29="","",B29-C29)</x:f>
        <x:v>131</x:v>
      </x:c>
    </x:row>
    <x:row r="30" ht="22" customHeight="1">
      <x:c r="A30" s="11" t="n">
        <x:f>IF(A29="","",IF(A29+1&gt;IF(AND(COUNTIF('Repeat Detail'!$A$6:$A$1005,"Quality")=21,COUNTIF('Repeat Detail'!$A$6:$A$1005,"Menu")=12,COUNTIF('Repeat Detail'!$A$6:$A$1005,"Daily")=SUMIFS('Repeat Detail'!$O$6:$O$1005,'Repeat Detail'!$A$6:$A$1005,"Quality",'Repeat Detail'!$H$6:$H$1005,"Date span")),SUMIFS('Repeat Detail'!$O$6:$O$1005,'Repeat Detail'!$A$6:$A$1005,"Quality",'Repeat Detail'!$H$6:$H$1005,"Last date"),NA()),"",A29+1))</x:f>
        <x:v>46244</x:v>
      </x:c>
      <x:c r="B30" s="19" t="n">
        <x:f>IF($A30="","",SUMIFS('Repeat Detail'!$I$6:$I$1005,'Repeat Detail'!$A$6:$A$1005,"Daily",'Repeat Detail'!$B$6:$B$1005,$A30))</x:f>
        <x:v>6780</x:v>
      </x:c>
      <x:c r="C30" s="19" t="n">
        <x:f>IF($A30="","",SUMIFS('Repeat Detail'!$J$6:$J$1005,'Repeat Detail'!$A$6:$A$1005,"Daily",'Repeat Detail'!$B$6:$B$1005,$A30))</x:f>
        <x:v>5787</x:v>
      </x:c>
      <x:c r="D30" s="19" t="n">
        <x:f>IF($A30="","",SUMIFS('Repeat Detail'!$K$6:$K$1005,'Repeat Detail'!$A$6:$A$1005,"Daily",'Repeat Detail'!$B$6:$B$1005,$A30))</x:f>
        <x:v>4574</x:v>
      </x:c>
      <x:c r="E30" s="19" t="n">
        <x:f>IF($A30="","",SUMIFS('Repeat Detail'!$L$6:$L$1005,'Repeat Detail'!$A$6:$A$1005,"Daily",'Repeat Detail'!$B$6:$B$1005,$A30))</x:f>
        <x:v>884</x:v>
      </x:c>
      <x:c r="F30" s="21" t="n">
        <x:f>IF(A30="","",IF(D30=0,"n.a.",E30/D30))</x:f>
        <x:v>0.19326628771316134</x:v>
      </x:c>
      <x:c r="G30" s="19" t="n">
        <x:f>IF($A30="","",SUMIFS('Repeat Detail'!$M$6:$M$1005,'Repeat Detail'!$A$6:$A$1005,"Daily",'Repeat Detail'!$B$6:$B$1005,$A30))</x:f>
        <x:v>1213</x:v>
      </x:c>
      <x:c r="H30" s="21" t="n">
        <x:f>IF(A30="","",IF(C30=0,"n.a.",G30/C30))</x:f>
        <x:v>0.20960774148954553</x:v>
      </x:c>
      <x:c r="I30" s="19" t="n">
        <x:f>IF($A30="","",SUMIFS('Repeat Detail'!$N$6:$N$1005,'Repeat Detail'!$A$6:$A$1005,"Daily",'Repeat Detail'!$B$6:$B$1005,$A30))</x:f>
        <x:v>2097</x:v>
      </x:c>
      <x:c r="J30" s="19" t="n">
        <x:f>IF(A30="","",B30-C30)</x:f>
        <x:v>993</x:v>
      </x:c>
    </x:row>
    <x:row r="31" ht="22" customHeight="1">
      <x:c r="A31" s="11" t="n">
        <x:f>IF(A30="","",IF(A30+1&gt;IF(AND(COUNTIF('Repeat Detail'!$A$6:$A$1005,"Quality")=21,COUNTIF('Repeat Detail'!$A$6:$A$1005,"Menu")=12,COUNTIF('Repeat Detail'!$A$6:$A$1005,"Daily")=SUMIFS('Repeat Detail'!$O$6:$O$1005,'Repeat Detail'!$A$6:$A$1005,"Quality",'Repeat Detail'!$H$6:$H$1005,"Date span")),SUMIFS('Repeat Detail'!$O$6:$O$1005,'Repeat Detail'!$A$6:$A$1005,"Quality",'Repeat Detail'!$H$6:$H$1005,"Last date"),NA()),"",A30+1))</x:f>
        <x:v>46245</x:v>
      </x:c>
      <x:c r="B31" s="19" t="n">
        <x:f>IF($A31="","",SUMIFS('Repeat Detail'!$I$6:$I$1005,'Repeat Detail'!$A$6:$A$1005,"Daily",'Repeat Detail'!$B$6:$B$1005,$A31))</x:f>
        <x:v>6776</x:v>
      </x:c>
      <x:c r="C31" s="19" t="n">
        <x:f>IF($A31="","",SUMIFS('Repeat Detail'!$J$6:$J$1005,'Repeat Detail'!$A$6:$A$1005,"Daily",'Repeat Detail'!$B$6:$B$1005,$A31))</x:f>
        <x:v>5756</x:v>
      </x:c>
      <x:c r="D31" s="19" t="n">
        <x:f>IF($A31="","",SUMIFS('Repeat Detail'!$K$6:$K$1005,'Repeat Detail'!$A$6:$A$1005,"Daily",'Repeat Detail'!$B$6:$B$1005,$A31))</x:f>
        <x:v>4534</x:v>
      </x:c>
      <x:c r="E31" s="19" t="n">
        <x:f>IF($A31="","",SUMIFS('Repeat Detail'!$L$6:$L$1005,'Repeat Detail'!$A$6:$A$1005,"Daily",'Repeat Detail'!$B$6:$B$1005,$A31))</x:f>
        <x:v>897</x:v>
      </x:c>
      <x:c r="F31" s="21" t="n">
        <x:f>IF(A31="","",IF(D31=0,"n.a.",E31/D31))</x:f>
        <x:v>0.19783855315394794</x:v>
      </x:c>
      <x:c r="G31" s="19" t="n">
        <x:f>IF($A31="","",SUMIFS('Repeat Detail'!$M$6:$M$1005,'Repeat Detail'!$A$6:$A$1005,"Daily",'Repeat Detail'!$B$6:$B$1005,$A31))</x:f>
        <x:v>1222</x:v>
      </x:c>
      <x:c r="H31" s="21" t="n">
        <x:f>IF(A31="","",IF(C31=0,"n.a.",G31/C31))</x:f>
        <x:v>0.2123002084781098</x:v>
      </x:c>
      <x:c r="I31" s="19" t="n">
        <x:f>IF($A31="","",SUMIFS('Repeat Detail'!$N$6:$N$1005,'Repeat Detail'!$A$6:$A$1005,"Daily",'Repeat Detail'!$B$6:$B$1005,$A31))</x:f>
        <x:v>2119</x:v>
      </x:c>
      <x:c r="J31" s="19" t="n">
        <x:f>IF(A31="","",B31-C31)</x:f>
        <x:v>1020</x:v>
      </x:c>
    </x:row>
    <x:row r="32" ht="22" customHeight="1">
      <x:c r="A32" s="11" t="n">
        <x:f>IF(A31="","",IF(A31+1&gt;IF(AND(COUNTIF('Repeat Detail'!$A$6:$A$1005,"Quality")=21,COUNTIF('Repeat Detail'!$A$6:$A$1005,"Menu")=12,COUNTIF('Repeat Detail'!$A$6:$A$1005,"Daily")=SUMIFS('Repeat Detail'!$O$6:$O$1005,'Repeat Detail'!$A$6:$A$1005,"Quality",'Repeat Detail'!$H$6:$H$1005,"Date span")),SUMIFS('Repeat Detail'!$O$6:$O$1005,'Repeat Detail'!$A$6:$A$1005,"Quality",'Repeat Detail'!$H$6:$H$1005,"Last date"),NA()),"",A31+1))</x:f>
        <x:v>46246</x:v>
      </x:c>
      <x:c r="B32" s="19" t="n">
        <x:f>IF($A32="","",SUMIFS('Repeat Detail'!$I$6:$I$1005,'Repeat Detail'!$A$6:$A$1005,"Daily",'Repeat Detail'!$B$6:$B$1005,$A32))</x:f>
        <x:v>6268</x:v>
      </x:c>
      <x:c r="C32" s="19" t="n">
        <x:f>IF($A32="","",SUMIFS('Repeat Detail'!$J$6:$J$1005,'Repeat Detail'!$A$6:$A$1005,"Daily",'Repeat Detail'!$B$6:$B$1005,$A32))</x:f>
        <x:v>5324</x:v>
      </x:c>
      <x:c r="D32" s="19" t="n">
        <x:f>IF($A32="","",SUMIFS('Repeat Detail'!$K$6:$K$1005,'Repeat Detail'!$A$6:$A$1005,"Daily",'Repeat Detail'!$B$6:$B$1005,$A32))</x:f>
        <x:v>4274</x:v>
      </x:c>
      <x:c r="E32" s="19" t="n">
        <x:f>IF($A32="","",SUMIFS('Repeat Detail'!$L$6:$L$1005,'Repeat Detail'!$A$6:$A$1005,"Daily",'Repeat Detail'!$B$6:$B$1005,$A32))</x:f>
        <x:v>796</x:v>
      </x:c>
      <x:c r="F32" s="21" t="n">
        <x:f>IF(A32="","",IF(D32=0,"n.a.",E32/D32))</x:f>
        <x:v>0.18624239588207767</x:v>
      </x:c>
      <x:c r="G32" s="19" t="n">
        <x:f>IF($A32="","",SUMIFS('Repeat Detail'!$M$6:$M$1005,'Repeat Detail'!$A$6:$A$1005,"Daily",'Repeat Detail'!$B$6:$B$1005,$A32))</x:f>
        <x:v>1050</x:v>
      </x:c>
      <x:c r="H32" s="21" t="n">
        <x:f>IF(A32="","",IF(C32=0,"n.a.",G32/C32))</x:f>
        <x:v>0.19722013523666415</x:v>
      </x:c>
      <x:c r="I32" s="19" t="n">
        <x:f>IF($A32="","",SUMIFS('Repeat Detail'!$N$6:$N$1005,'Repeat Detail'!$A$6:$A$1005,"Daily",'Repeat Detail'!$B$6:$B$1005,$A32))</x:f>
        <x:v>1846</x:v>
      </x:c>
      <x:c r="J32" s="19" t="n">
        <x:f>IF(A32="","",B32-C32)</x:f>
        <x:v>944</x:v>
      </x:c>
    </x:row>
    <x:row r="33" ht="22" customHeight="1">
      <x:c r="A33" s="11" t="n">
        <x:f>IF(A32="","",IF(A32+1&gt;IF(AND(COUNTIF('Repeat Detail'!$A$6:$A$1005,"Quality")=21,COUNTIF('Repeat Detail'!$A$6:$A$1005,"Menu")=12,COUNTIF('Repeat Detail'!$A$6:$A$1005,"Daily")=SUMIFS('Repeat Detail'!$O$6:$O$1005,'Repeat Detail'!$A$6:$A$1005,"Quality",'Repeat Detail'!$H$6:$H$1005,"Date span")),SUMIFS('Repeat Detail'!$O$6:$O$1005,'Repeat Detail'!$A$6:$A$1005,"Quality",'Repeat Detail'!$H$6:$H$1005,"Last date"),NA()),"",A32+1))</x:f>
        <x:v>46247</x:v>
      </x:c>
      <x:c r="B33" s="19" t="n">
        <x:f>IF($A33="","",SUMIFS('Repeat Detail'!$I$6:$I$1005,'Repeat Detail'!$A$6:$A$1005,"Daily",'Repeat Detail'!$B$6:$B$1005,$A33))</x:f>
        <x:v>6589</x:v>
      </x:c>
      <x:c r="C33" s="19" t="n">
        <x:f>IF($A33="","",SUMIFS('Repeat Detail'!$J$6:$J$1005,'Repeat Detail'!$A$6:$A$1005,"Daily",'Repeat Detail'!$B$6:$B$1005,$A33))</x:f>
        <x:v>5560</x:v>
      </x:c>
      <x:c r="D33" s="19" t="n">
        <x:f>IF($A33="","",SUMIFS('Repeat Detail'!$K$6:$K$1005,'Repeat Detail'!$A$6:$A$1005,"Daily",'Repeat Detail'!$B$6:$B$1005,$A33))</x:f>
        <x:v>4404</x:v>
      </x:c>
      <x:c r="E33" s="19" t="n">
        <x:f>IF($A33="","",SUMIFS('Repeat Detail'!$L$6:$L$1005,'Repeat Detail'!$A$6:$A$1005,"Daily",'Repeat Detail'!$B$6:$B$1005,$A33))</x:f>
        <x:v>804</x:v>
      </x:c>
      <x:c r="F33" s="21" t="n">
        <x:f>IF(A33="","",IF(D33=0,"n.a.",E33/D33))</x:f>
        <x:v>0.18256130790190736</x:v>
      </x:c>
      <x:c r="G33" s="19" t="n">
        <x:f>IF($A33="","",SUMIFS('Repeat Detail'!$M$6:$M$1005,'Repeat Detail'!$A$6:$A$1005,"Daily",'Repeat Detail'!$B$6:$B$1005,$A33))</x:f>
        <x:v>1156</x:v>
      </x:c>
      <x:c r="H33" s="21" t="n">
        <x:f>IF(A33="","",IF(C33=0,"n.a.",G33/C33))</x:f>
        <x:v>0.2079136690647482</x:v>
      </x:c>
      <x:c r="I33" s="19" t="n">
        <x:f>IF($A33="","",SUMIFS('Repeat Detail'!$N$6:$N$1005,'Repeat Detail'!$A$6:$A$1005,"Daily",'Repeat Detail'!$B$6:$B$1005,$A33))</x:f>
        <x:v>1960</x:v>
      </x:c>
      <x:c r="J33" s="19" t="n">
        <x:f>IF(A33="","",B33-C33)</x:f>
        <x:v>1029</x:v>
      </x:c>
    </x:row>
    <x:row r="34" ht="22" customHeight="1">
      <x:c r="A34" s="11" t="n">
        <x:f>IF(A33="","",IF(A33+1&gt;IF(AND(COUNTIF('Repeat Detail'!$A$6:$A$1005,"Quality")=21,COUNTIF('Repeat Detail'!$A$6:$A$1005,"Menu")=12,COUNTIF('Repeat Detail'!$A$6:$A$1005,"Daily")=SUMIFS('Repeat Detail'!$O$6:$O$1005,'Repeat Detail'!$A$6:$A$1005,"Quality",'Repeat Detail'!$H$6:$H$1005,"Date span")),SUMIFS('Repeat Detail'!$O$6:$O$1005,'Repeat Detail'!$A$6:$A$1005,"Quality",'Repeat Detail'!$H$6:$H$1005,"Last date"),NA()),"",A33+1))</x:f>
        <x:v>46248</x:v>
      </x:c>
      <x:c r="B34" s="19" t="n">
        <x:f>IF($A34="","",SUMIFS('Repeat Detail'!$I$6:$I$1005,'Repeat Detail'!$A$6:$A$1005,"Daily",'Repeat Detail'!$B$6:$B$1005,$A34))</x:f>
        <x:v>9536</x:v>
      </x:c>
      <x:c r="C34" s="19" t="n">
        <x:f>IF($A34="","",SUMIFS('Repeat Detail'!$J$6:$J$1005,'Repeat Detail'!$A$6:$A$1005,"Daily",'Repeat Detail'!$B$6:$B$1005,$A34))</x:f>
        <x:v>8368</x:v>
      </x:c>
      <x:c r="D34" s="19" t="n">
        <x:f>IF($A34="","",SUMIFS('Repeat Detail'!$K$6:$K$1005,'Repeat Detail'!$A$6:$A$1005,"Daily",'Repeat Detail'!$B$6:$B$1005,$A34))</x:f>
        <x:v>6598</x:v>
      </x:c>
      <x:c r="E34" s="19" t="n">
        <x:f>IF($A34="","",SUMIFS('Repeat Detail'!$L$6:$L$1005,'Repeat Detail'!$A$6:$A$1005,"Daily",'Repeat Detail'!$B$6:$B$1005,$A34))</x:f>
        <x:v>1301</x:v>
      </x:c>
      <x:c r="F34" s="21" t="n">
        <x:f>IF(A34="","",IF(D34=0,"n.a.",E34/D34))</x:f>
        <x:v>0.19718096392846318</x:v>
      </x:c>
      <x:c r="G34" s="19" t="n">
        <x:f>IF($A34="","",SUMIFS('Repeat Detail'!$M$6:$M$1005,'Repeat Detail'!$A$6:$A$1005,"Daily",'Repeat Detail'!$B$6:$B$1005,$A34))</x:f>
        <x:v>1770</x:v>
      </x:c>
      <x:c r="H34" s="21" t="n">
        <x:f>IF(A34="","",IF(C34=0,"n.a.",G34/C34))</x:f>
        <x:v>0.21152007648183557</x:v>
      </x:c>
      <x:c r="I34" s="19" t="n">
        <x:f>IF($A34="","",SUMIFS('Repeat Detail'!$N$6:$N$1005,'Repeat Detail'!$A$6:$A$1005,"Daily",'Repeat Detail'!$B$6:$B$1005,$A34))</x:f>
        <x:v>3071</x:v>
      </x:c>
      <x:c r="J34" s="19" t="n">
        <x:f>IF(A34="","",B34-C34)</x:f>
        <x:v>1168</x:v>
      </x:c>
    </x:row>
    <x:row r="35" ht="22" customHeight="1">
      <x:c r="A35" s="11" t="n">
        <x:f>IF(A34="","",IF(A34+1&gt;IF(AND(COUNTIF('Repeat Detail'!$A$6:$A$1005,"Quality")=21,COUNTIF('Repeat Detail'!$A$6:$A$1005,"Menu")=12,COUNTIF('Repeat Detail'!$A$6:$A$1005,"Daily")=SUMIFS('Repeat Detail'!$O$6:$O$1005,'Repeat Detail'!$A$6:$A$1005,"Quality",'Repeat Detail'!$H$6:$H$1005,"Date span")),SUMIFS('Repeat Detail'!$O$6:$O$1005,'Repeat Detail'!$A$6:$A$1005,"Quality",'Repeat Detail'!$H$6:$H$1005,"Last date"),NA()),"",A34+1))</x:f>
        <x:v>46249</x:v>
      </x:c>
      <x:c r="B35" s="19" t="n">
        <x:f>IF($A35="","",SUMIFS('Repeat Detail'!$I$6:$I$1005,'Repeat Detail'!$A$6:$A$1005,"Daily",'Repeat Detail'!$B$6:$B$1005,$A35))</x:f>
        <x:v>3162</x:v>
      </x:c>
      <x:c r="C35" s="19" t="n">
        <x:f>IF($A35="","",SUMIFS('Repeat Detail'!$J$6:$J$1005,'Repeat Detail'!$A$6:$A$1005,"Daily",'Repeat Detail'!$B$6:$B$1005,$A35))</x:f>
        <x:v>2791</x:v>
      </x:c>
      <x:c r="D35" s="19" t="n">
        <x:f>IF($A35="","",SUMIFS('Repeat Detail'!$K$6:$K$1005,'Repeat Detail'!$A$6:$A$1005,"Daily",'Repeat Detail'!$B$6:$B$1005,$A35))</x:f>
        <x:v>2303</x:v>
      </x:c>
      <x:c r="E35" s="19" t="n">
        <x:f>IF($A35="","",SUMIFS('Repeat Detail'!$L$6:$L$1005,'Repeat Detail'!$A$6:$A$1005,"Daily",'Repeat Detail'!$B$6:$B$1005,$A35))</x:f>
        <x:v>350</x:v>
      </x:c>
      <x:c r="F35" s="21" t="n">
        <x:f>IF(A35="","",IF(D35=0,"n.a.",E35/D35))</x:f>
        <x:v>0.1519756838905775</x:v>
      </x:c>
      <x:c r="G35" s="19" t="n">
        <x:f>IF($A35="","",SUMIFS('Repeat Detail'!$M$6:$M$1005,'Repeat Detail'!$A$6:$A$1005,"Daily",'Repeat Detail'!$B$6:$B$1005,$A35))</x:f>
        <x:v>488</x:v>
      </x:c>
      <x:c r="H35" s="21" t="n">
        <x:f>IF(A35="","",IF(C35=0,"n.a.",G35/C35))</x:f>
        <x:v>0.1748477248298101</x:v>
      </x:c>
      <x:c r="I35" s="19" t="n">
        <x:f>IF($A35="","",SUMIFS('Repeat Detail'!$N$6:$N$1005,'Repeat Detail'!$A$6:$A$1005,"Daily",'Repeat Detail'!$B$6:$B$1005,$A35))</x:f>
        <x:v>838</x:v>
      </x:c>
      <x:c r="J35" s="19" t="n">
        <x:f>IF(A35="","",B35-C35)</x:f>
        <x:v>371</x:v>
      </x:c>
    </x:row>
    <x:row r="36" ht="22" customHeight="1">
      <x:c r="A36" s="11" t="n">
        <x:f>IF(A35="","",IF(A35+1&gt;IF(AND(COUNTIF('Repeat Detail'!$A$6:$A$1005,"Quality")=21,COUNTIF('Repeat Detail'!$A$6:$A$1005,"Menu")=12,COUNTIF('Repeat Detail'!$A$6:$A$1005,"Daily")=SUMIFS('Repeat Detail'!$O$6:$O$1005,'Repeat Detail'!$A$6:$A$1005,"Quality",'Repeat Detail'!$H$6:$H$1005,"Date span")),SUMIFS('Repeat Detail'!$O$6:$O$1005,'Repeat Detail'!$A$6:$A$1005,"Quality",'Repeat Detail'!$H$6:$H$1005,"Last date"),NA()),"",A35+1))</x:f>
        <x:v>46250</x:v>
      </x:c>
      <x:c r="B36" s="19" t="n">
        <x:f>IF($A36="","",SUMIFS('Repeat Detail'!$I$6:$I$1005,'Repeat Detail'!$A$6:$A$1005,"Daily",'Repeat Detail'!$B$6:$B$1005,$A36))</x:f>
        <x:v>1292</x:v>
      </x:c>
      <x:c r="C36" s="19" t="n">
        <x:f>IF($A36="","",SUMIFS('Repeat Detail'!$J$6:$J$1005,'Repeat Detail'!$A$6:$A$1005,"Daily",'Repeat Detail'!$B$6:$B$1005,$A36))</x:f>
        <x:v>1166</x:v>
      </x:c>
      <x:c r="D36" s="19" t="n">
        <x:f>IF($A36="","",SUMIFS('Repeat Detail'!$K$6:$K$1005,'Repeat Detail'!$A$6:$A$1005,"Daily",'Repeat Detail'!$B$6:$B$1005,$A36))</x:f>
        <x:v>988</x:v>
      </x:c>
      <x:c r="E36" s="19" t="n">
        <x:f>IF($A36="","",SUMIFS('Repeat Detail'!$L$6:$L$1005,'Repeat Detail'!$A$6:$A$1005,"Daily",'Repeat Detail'!$B$6:$B$1005,$A36))</x:f>
        <x:v>133</x:v>
      </x:c>
      <x:c r="F36" s="21" t="n">
        <x:f>IF(A36="","",IF(D36=0,"n.a.",E36/D36))</x:f>
        <x:v>0.1346153846153846</x:v>
      </x:c>
      <x:c r="G36" s="19" t="n">
        <x:f>IF($A36="","",SUMIFS('Repeat Detail'!$M$6:$M$1005,'Repeat Detail'!$A$6:$A$1005,"Daily",'Repeat Detail'!$B$6:$B$1005,$A36))</x:f>
        <x:v>178</x:v>
      </x:c>
      <x:c r="H36" s="21" t="n">
        <x:f>IF(A36="","",IF(C36=0,"n.a.",G36/C36))</x:f>
        <x:v>0.15265866209262435</x:v>
      </x:c>
      <x:c r="I36" s="19" t="n">
        <x:f>IF($A36="","",SUMIFS('Repeat Detail'!$N$6:$N$1005,'Repeat Detail'!$A$6:$A$1005,"Daily",'Repeat Detail'!$B$6:$B$1005,$A36))</x:f>
        <x:v>311</x:v>
      </x:c>
      <x:c r="J36" s="19" t="n">
        <x:f>IF(A36="","",B36-C36)</x:f>
        <x:v>126</x:v>
      </x:c>
    </x:row>
    <x:row r="37" ht="22" customHeight="1">
      <x:c r="A37" s="11" t="n">
        <x:f>IF(A36="","",IF(A36+1&gt;IF(AND(COUNTIF('Repeat Detail'!$A$6:$A$1005,"Quality")=21,COUNTIF('Repeat Detail'!$A$6:$A$1005,"Menu")=12,COUNTIF('Repeat Detail'!$A$6:$A$1005,"Daily")=SUMIFS('Repeat Detail'!$O$6:$O$1005,'Repeat Detail'!$A$6:$A$1005,"Quality",'Repeat Detail'!$H$6:$H$1005,"Date span")),SUMIFS('Repeat Detail'!$O$6:$O$1005,'Repeat Detail'!$A$6:$A$1005,"Quality",'Repeat Detail'!$H$6:$H$1005,"Last date"),NA()),"",A36+1))</x:f>
        <x:v>46251</x:v>
      </x:c>
      <x:c r="B37" s="19" t="n">
        <x:f>IF($A37="","",SUMIFS('Repeat Detail'!$I$6:$I$1005,'Repeat Detail'!$A$6:$A$1005,"Daily",'Repeat Detail'!$B$6:$B$1005,$A37))</x:f>
        <x:v>6555</x:v>
      </x:c>
      <x:c r="C37" s="19" t="n">
        <x:f>IF($A37="","",SUMIFS('Repeat Detail'!$J$6:$J$1005,'Repeat Detail'!$A$6:$A$1005,"Daily",'Repeat Detail'!$B$6:$B$1005,$A37))</x:f>
        <x:v>5511</x:v>
      </x:c>
      <x:c r="D37" s="19" t="n">
        <x:f>IF($A37="","",SUMIFS('Repeat Detail'!$K$6:$K$1005,'Repeat Detail'!$A$6:$A$1005,"Daily",'Repeat Detail'!$B$6:$B$1005,$A37))</x:f>
        <x:v>4266</x:v>
      </x:c>
      <x:c r="E37" s="19" t="n">
        <x:f>IF($A37="","",SUMIFS('Repeat Detail'!$L$6:$L$1005,'Repeat Detail'!$A$6:$A$1005,"Daily",'Repeat Detail'!$B$6:$B$1005,$A37))</x:f>
        <x:v>883</x:v>
      </x:c>
      <x:c r="F37" s="21" t="n">
        <x:f>IF(A37="","",IF(D37=0,"n.a.",E37/D37))</x:f>
        <x:v>0.20698546647913738</x:v>
      </x:c>
      <x:c r="G37" s="19" t="n">
        <x:f>IF($A37="","",SUMIFS('Repeat Detail'!$M$6:$M$1005,'Repeat Detail'!$A$6:$A$1005,"Daily",'Repeat Detail'!$B$6:$B$1005,$A37))</x:f>
        <x:v>1245</x:v>
      </x:c>
      <x:c r="H37" s="21" t="n">
        <x:f>IF(A37="","",IF(C37=0,"n.a.",G37/C37))</x:f>
        <x:v>0.22591181273816005</x:v>
      </x:c>
      <x:c r="I37" s="19" t="n">
        <x:f>IF($A37="","",SUMIFS('Repeat Detail'!$N$6:$N$1005,'Repeat Detail'!$A$6:$A$1005,"Daily",'Repeat Detail'!$B$6:$B$1005,$A37))</x:f>
        <x:v>2128</x:v>
      </x:c>
      <x:c r="J37" s="19" t="n">
        <x:f>IF(A37="","",B37-C37)</x:f>
        <x:v>1044</x:v>
      </x:c>
    </x:row>
    <x:row r="38" ht="22" customHeight="1">
      <x:c r="A38" s="11" t="n">
        <x:f>IF(A37="","",IF(A37+1&gt;IF(AND(COUNTIF('Repeat Detail'!$A$6:$A$1005,"Quality")=21,COUNTIF('Repeat Detail'!$A$6:$A$1005,"Menu")=12,COUNTIF('Repeat Detail'!$A$6:$A$1005,"Daily")=SUMIFS('Repeat Detail'!$O$6:$O$1005,'Repeat Detail'!$A$6:$A$1005,"Quality",'Repeat Detail'!$H$6:$H$1005,"Date span")),SUMIFS('Repeat Detail'!$O$6:$O$1005,'Repeat Detail'!$A$6:$A$1005,"Quality",'Repeat Detail'!$H$6:$H$1005,"Last date"),NA()),"",A37+1))</x:f>
        <x:v>46252</x:v>
      </x:c>
      <x:c r="B38" s="19" t="n">
        <x:f>IF($A38="","",SUMIFS('Repeat Detail'!$I$6:$I$1005,'Repeat Detail'!$A$6:$A$1005,"Daily",'Repeat Detail'!$B$6:$B$1005,$A38))</x:f>
        <x:v>5067</x:v>
      </x:c>
      <x:c r="C38" s="19" t="n">
        <x:f>IF($A38="","",SUMIFS('Repeat Detail'!$J$6:$J$1005,'Repeat Detail'!$A$6:$A$1005,"Daily",'Repeat Detail'!$B$6:$B$1005,$A38))</x:f>
        <x:v>4272</x:v>
      </x:c>
      <x:c r="D38" s="19" t="n">
        <x:f>IF($A38="","",SUMIFS('Repeat Detail'!$K$6:$K$1005,'Repeat Detail'!$A$6:$A$1005,"Daily",'Repeat Detail'!$B$6:$B$1005,$A38))</x:f>
        <x:v>3275</x:v>
      </x:c>
      <x:c r="E38" s="19" t="n">
        <x:f>IF($A38="","",SUMIFS('Repeat Detail'!$L$6:$L$1005,'Repeat Detail'!$A$6:$A$1005,"Daily",'Repeat Detail'!$B$6:$B$1005,$A38))</x:f>
        <x:v>710</x:v>
      </x:c>
      <x:c r="F38" s="21" t="n">
        <x:f>IF(A38="","",IF(D38=0,"n.a.",E38/D38))</x:f>
        <x:v>0.216793893129771</x:v>
      </x:c>
      <x:c r="G38" s="19" t="n">
        <x:f>IF($A38="","",SUMIFS('Repeat Detail'!$M$6:$M$1005,'Repeat Detail'!$A$6:$A$1005,"Daily",'Repeat Detail'!$B$6:$B$1005,$A38))</x:f>
        <x:v>997</x:v>
      </x:c>
      <x:c r="H38" s="21" t="n">
        <x:f>IF(A38="","",IF(C38=0,"n.a.",G38/C38))</x:f>
        <x:v>0.23338014981273408</x:v>
      </x:c>
      <x:c r="I38" s="19" t="n">
        <x:f>IF($A38="","",SUMIFS('Repeat Detail'!$N$6:$N$1005,'Repeat Detail'!$A$6:$A$1005,"Daily",'Repeat Detail'!$B$6:$B$1005,$A38))</x:f>
        <x:v>1707</x:v>
      </x:c>
      <x:c r="J38" s="19" t="n">
        <x:f>IF(A38="","",B38-C38)</x:f>
        <x:v>795</x:v>
      </x:c>
    </x:row>
    <x:row r="39" ht="22" customHeight="1">
      <x:c r="A39" s="11" t="n">
        <x:f>IF(A38="","",IF(A38+1&gt;IF(AND(COUNTIF('Repeat Detail'!$A$6:$A$1005,"Quality")=21,COUNTIF('Repeat Detail'!$A$6:$A$1005,"Menu")=12,COUNTIF('Repeat Detail'!$A$6:$A$1005,"Daily")=SUMIFS('Repeat Detail'!$O$6:$O$1005,'Repeat Detail'!$A$6:$A$1005,"Quality",'Repeat Detail'!$H$6:$H$1005,"Date span")),SUMIFS('Repeat Detail'!$O$6:$O$1005,'Repeat Detail'!$A$6:$A$1005,"Quality",'Repeat Detail'!$H$6:$H$1005,"Last date"),NA()),"",A38+1))</x:f>
        <x:v>46253</x:v>
      </x:c>
      <x:c r="B39" s="19" t="n">
        <x:f>IF($A39="","",SUMIFS('Repeat Detail'!$I$6:$I$1005,'Repeat Detail'!$A$6:$A$1005,"Daily",'Repeat Detail'!$B$6:$B$1005,$A39))</x:f>
        <x:v>4436</x:v>
      </x:c>
      <x:c r="C39" s="19" t="n">
        <x:f>IF($A39="","",SUMIFS('Repeat Detail'!$J$6:$J$1005,'Repeat Detail'!$A$6:$A$1005,"Daily",'Repeat Detail'!$B$6:$B$1005,$A39))</x:f>
        <x:v>3729</x:v>
      </x:c>
      <x:c r="D39" s="19" t="n">
        <x:f>IF($A39="","",SUMIFS('Repeat Detail'!$K$6:$K$1005,'Repeat Detail'!$A$6:$A$1005,"Daily",'Repeat Detail'!$B$6:$B$1005,$A39))</x:f>
        <x:v>2875</x:v>
      </x:c>
      <x:c r="E39" s="19" t="n">
        <x:f>IF($A39="","",SUMIFS('Repeat Detail'!$L$6:$L$1005,'Repeat Detail'!$A$6:$A$1005,"Daily",'Repeat Detail'!$B$6:$B$1005,$A39))</x:f>
        <x:v>613</x:v>
      </x:c>
      <x:c r="F39" s="21" t="n">
        <x:f>IF(A39="","",IF(D39=0,"n.a.",E39/D39))</x:f>
        <x:v>0.21321739130434783</x:v>
      </x:c>
      <x:c r="G39" s="19" t="n">
        <x:f>IF($A39="","",SUMIFS('Repeat Detail'!$M$6:$M$1005,'Repeat Detail'!$A$6:$A$1005,"Daily",'Repeat Detail'!$B$6:$B$1005,$A39))</x:f>
        <x:v>854</x:v>
      </x:c>
      <x:c r="H39" s="21" t="n">
        <x:f>IF(A39="","",IF(C39=0,"n.a.",G39/C39))</x:f>
        <x:v>0.22901582193617592</x:v>
      </x:c>
      <x:c r="I39" s="19" t="n">
        <x:f>IF($A39="","",SUMIFS('Repeat Detail'!$N$6:$N$1005,'Repeat Detail'!$A$6:$A$1005,"Daily",'Repeat Detail'!$B$6:$B$1005,$A39))</x:f>
        <x:v>1467</x:v>
      </x:c>
      <x:c r="J39" s="19" t="n">
        <x:f>IF(A39="","",B39-C39)</x:f>
        <x:v>707</x:v>
      </x:c>
    </x:row>
    <x:row r="40" ht="22" customHeight="1">
      <x:c r="A40" s="11" t="n">
        <x:f>IF(A39="","",IF(A39+1&gt;IF(AND(COUNTIF('Repeat Detail'!$A$6:$A$1005,"Quality")=21,COUNTIF('Repeat Detail'!$A$6:$A$1005,"Menu")=12,COUNTIF('Repeat Detail'!$A$6:$A$1005,"Daily")=SUMIFS('Repeat Detail'!$O$6:$O$1005,'Repeat Detail'!$A$6:$A$1005,"Quality",'Repeat Detail'!$H$6:$H$1005,"Date span")),SUMIFS('Repeat Detail'!$O$6:$O$1005,'Repeat Detail'!$A$6:$A$1005,"Quality",'Repeat Detail'!$H$6:$H$1005,"Last date"),NA()),"",A39+1))</x:f>
        <x:v>46254</x:v>
      </x:c>
      <x:c r="B40" s="19" t="n">
        <x:f>IF($A40="","",SUMIFS('Repeat Detail'!$I$6:$I$1005,'Repeat Detail'!$A$6:$A$1005,"Daily",'Repeat Detail'!$B$6:$B$1005,$A40))</x:f>
        <x:v>3865</x:v>
      </x:c>
      <x:c r="C40" s="19" t="n">
        <x:f>IF($A40="","",SUMIFS('Repeat Detail'!$J$6:$J$1005,'Repeat Detail'!$A$6:$A$1005,"Daily",'Repeat Detail'!$B$6:$B$1005,$A40))</x:f>
        <x:v>3145</x:v>
      </x:c>
      <x:c r="D40" s="19" t="n">
        <x:f>IF($A40="","",SUMIFS('Repeat Detail'!$K$6:$K$1005,'Repeat Detail'!$A$6:$A$1005,"Daily",'Repeat Detail'!$B$6:$B$1005,$A40))</x:f>
        <x:v>2510</x:v>
      </x:c>
      <x:c r="E40" s="19" t="n">
        <x:f>IF($A40="","",SUMIFS('Repeat Detail'!$L$6:$L$1005,'Repeat Detail'!$A$6:$A$1005,"Daily",'Repeat Detail'!$B$6:$B$1005,$A40))</x:f>
        <x:v>477</x:v>
      </x:c>
      <x:c r="F40" s="21" t="n">
        <x:f>IF(A40="","",IF(D40=0,"n.a.",E40/D40))</x:f>
        <x:v>0.1900398406374502</x:v>
      </x:c>
      <x:c r="G40" s="19" t="n">
        <x:f>IF($A40="","",SUMIFS('Repeat Detail'!$M$6:$M$1005,'Repeat Detail'!$A$6:$A$1005,"Daily",'Repeat Detail'!$B$6:$B$1005,$A40))</x:f>
        <x:v>635</x:v>
      </x:c>
      <x:c r="H40" s="21" t="n">
        <x:f>IF(A40="","",IF(C40=0,"n.a.",G40/C40))</x:f>
        <x:v>0.20190779014308427</x:v>
      </x:c>
      <x:c r="I40" s="19" t="n">
        <x:f>IF($A40="","",SUMIFS('Repeat Detail'!$N$6:$N$1005,'Repeat Detail'!$A$6:$A$1005,"Daily",'Repeat Detail'!$B$6:$B$1005,$A40))</x:f>
        <x:v>1112</x:v>
      </x:c>
      <x:c r="J40" s="19" t="n">
        <x:f>IF(A40="","",B40-C40)</x:f>
        <x:v>720</x:v>
      </x:c>
    </x:row>
    <x:row r="41" ht="22" customHeight="1">
      <x:c r="A41" s="11" t="n">
        <x:f>IF(A40="","",IF(A40+1&gt;IF(AND(COUNTIF('Repeat Detail'!$A$6:$A$1005,"Quality")=21,COUNTIF('Repeat Detail'!$A$6:$A$1005,"Menu")=12,COUNTIF('Repeat Detail'!$A$6:$A$1005,"Daily")=SUMIFS('Repeat Detail'!$O$6:$O$1005,'Repeat Detail'!$A$6:$A$1005,"Quality",'Repeat Detail'!$H$6:$H$1005,"Date span")),SUMIFS('Repeat Detail'!$O$6:$O$1005,'Repeat Detail'!$A$6:$A$1005,"Quality",'Repeat Detail'!$H$6:$H$1005,"Last date"),NA()),"",A40+1))</x:f>
        <x:v>46255</x:v>
      </x:c>
      <x:c r="B41" s="19" t="n">
        <x:f>IF($A41="","",SUMIFS('Repeat Detail'!$I$6:$I$1005,'Repeat Detail'!$A$6:$A$1005,"Daily",'Repeat Detail'!$B$6:$B$1005,$A41))</x:f>
        <x:v>4088</x:v>
      </x:c>
      <x:c r="C41" s="19" t="n">
        <x:f>IF($A41="","",SUMIFS('Repeat Detail'!$J$6:$J$1005,'Repeat Detail'!$A$6:$A$1005,"Daily",'Repeat Detail'!$B$6:$B$1005,$A41))</x:f>
        <x:v>3455</x:v>
      </x:c>
      <x:c r="D41" s="19" t="n">
        <x:f>IF($A41="","",SUMIFS('Repeat Detail'!$K$6:$K$1005,'Repeat Detail'!$A$6:$A$1005,"Daily",'Repeat Detail'!$B$6:$B$1005,$A41))</x:f>
        <x:v>2720</x:v>
      </x:c>
      <x:c r="E41" s="19" t="n">
        <x:f>IF($A41="","",SUMIFS('Repeat Detail'!$L$6:$L$1005,'Repeat Detail'!$A$6:$A$1005,"Daily",'Repeat Detail'!$B$6:$B$1005,$A41))</x:f>
        <x:v>539</x:v>
      </x:c>
      <x:c r="F41" s="21" t="n">
        <x:f>IF(A41="","",IF(D41=0,"n.a.",E41/D41))</x:f>
        <x:v>0.19816176470588234</x:v>
      </x:c>
      <x:c r="G41" s="19" t="n">
        <x:f>IF($A41="","",SUMIFS('Repeat Detail'!$M$6:$M$1005,'Repeat Detail'!$A$6:$A$1005,"Daily",'Repeat Detail'!$B$6:$B$1005,$A41))</x:f>
        <x:v>735</x:v>
      </x:c>
      <x:c r="H41" s="21" t="n">
        <x:f>IF(A41="","",IF(C41=0,"n.a.",G41/C41))</x:f>
        <x:v>0.21273516642547033</x:v>
      </x:c>
      <x:c r="I41" s="19" t="n">
        <x:f>IF($A41="","",SUMIFS('Repeat Detail'!$N$6:$N$1005,'Repeat Detail'!$A$6:$A$1005,"Daily",'Repeat Detail'!$B$6:$B$1005,$A41))</x:f>
        <x:v>1274</x:v>
      </x:c>
      <x:c r="J41" s="19" t="n">
        <x:f>IF(A41="","",B41-C41)</x:f>
        <x:v>633</x:v>
      </x:c>
    </x:row>
    <x:row r="42" ht="22" customHeight="1">
      <x:c r="A42" s="11" t="n">
        <x:f>IF(A41="","",IF(A41+1&gt;IF(AND(COUNTIF('Repeat Detail'!$A$6:$A$1005,"Quality")=21,COUNTIF('Repeat Detail'!$A$6:$A$1005,"Menu")=12,COUNTIF('Repeat Detail'!$A$6:$A$1005,"Daily")=SUMIFS('Repeat Detail'!$O$6:$O$1005,'Repeat Detail'!$A$6:$A$1005,"Quality",'Repeat Detail'!$H$6:$H$1005,"Date span")),SUMIFS('Repeat Detail'!$O$6:$O$1005,'Repeat Detail'!$A$6:$A$1005,"Quality",'Repeat Detail'!$H$6:$H$1005,"Last date"),NA()),"",A41+1))</x:f>
        <x:v>46256</x:v>
      </x:c>
      <x:c r="B42" s="19" t="n">
        <x:f>IF($A42="","",SUMIFS('Repeat Detail'!$I$6:$I$1005,'Repeat Detail'!$A$6:$A$1005,"Daily",'Repeat Detail'!$B$6:$B$1005,$A42))</x:f>
        <x:v>967</x:v>
      </x:c>
      <x:c r="C42" s="19" t="n">
        <x:f>IF($A42="","",SUMIFS('Repeat Detail'!$J$6:$J$1005,'Repeat Detail'!$A$6:$A$1005,"Daily",'Repeat Detail'!$B$6:$B$1005,$A42))</x:f>
        <x:v>813</x:v>
      </x:c>
      <x:c r="D42" s="19" t="n">
        <x:f>IF($A42="","",SUMIFS('Repeat Detail'!$K$6:$K$1005,'Repeat Detail'!$A$6:$A$1005,"Daily",'Repeat Detail'!$B$6:$B$1005,$A42))</x:f>
        <x:v>645</x:v>
      </x:c>
      <x:c r="E42" s="19" t="n">
        <x:f>IF($A42="","",SUMIFS('Repeat Detail'!$L$6:$L$1005,'Repeat Detail'!$A$6:$A$1005,"Daily",'Repeat Detail'!$B$6:$B$1005,$A42))</x:f>
        <x:v>125</x:v>
      </x:c>
      <x:c r="F42" s="21" t="n">
        <x:f>IF(A42="","",IF(D42=0,"n.a.",E42/D42))</x:f>
        <x:v>0.1937984496124031</x:v>
      </x:c>
      <x:c r="G42" s="19" t="n">
        <x:f>IF($A42="","",SUMIFS('Repeat Detail'!$M$6:$M$1005,'Repeat Detail'!$A$6:$A$1005,"Daily",'Repeat Detail'!$B$6:$B$1005,$A42))</x:f>
        <x:v>168</x:v>
      </x:c>
      <x:c r="H42" s="21" t="n">
        <x:f>IF(A42="","",IF(C42=0,"n.a.",G42/C42))</x:f>
        <x:v>0.2066420664206642</x:v>
      </x:c>
      <x:c r="I42" s="19" t="n">
        <x:f>IF($A42="","",SUMIFS('Repeat Detail'!$N$6:$N$1005,'Repeat Detail'!$A$6:$A$1005,"Daily",'Repeat Detail'!$B$6:$B$1005,$A42))</x:f>
        <x:v>293</x:v>
      </x:c>
      <x:c r="J42" s="19" t="n">
        <x:f>IF(A42="","",B42-C42)</x:f>
        <x:v>154</x:v>
      </x:c>
    </x:row>
    <x:row r="43" ht="22" customHeight="1">
      <x:c r="A43" s="11" t="n">
        <x:f>IF(A42="","",IF(A42+1&gt;IF(AND(COUNTIF('Repeat Detail'!$A$6:$A$1005,"Quality")=21,COUNTIF('Repeat Detail'!$A$6:$A$1005,"Menu")=12,COUNTIF('Repeat Detail'!$A$6:$A$1005,"Daily")=SUMIFS('Repeat Detail'!$O$6:$O$1005,'Repeat Detail'!$A$6:$A$1005,"Quality",'Repeat Detail'!$H$6:$H$1005,"Date span")),SUMIFS('Repeat Detail'!$O$6:$O$1005,'Repeat Detail'!$A$6:$A$1005,"Quality",'Repeat Detail'!$H$6:$H$1005,"Last date"),NA()),"",A42+1))</x:f>
        <x:v>46257</x:v>
      </x:c>
      <x:c r="B43" s="19" t="n">
        <x:f>IF($A43="","",SUMIFS('Repeat Detail'!$I$6:$I$1005,'Repeat Detail'!$A$6:$A$1005,"Daily",'Repeat Detail'!$B$6:$B$1005,$A43))</x:f>
        <x:v>317</x:v>
      </x:c>
      <x:c r="C43" s="19" t="n">
        <x:f>IF($A43="","",SUMIFS('Repeat Detail'!$J$6:$J$1005,'Repeat Detail'!$A$6:$A$1005,"Daily",'Repeat Detail'!$B$6:$B$1005,$A43))</x:f>
        <x:v>259</x:v>
      </x:c>
      <x:c r="D43" s="19" t="n">
        <x:f>IF($A43="","",SUMIFS('Repeat Detail'!$K$6:$K$1005,'Repeat Detail'!$A$6:$A$1005,"Daily",'Repeat Detail'!$B$6:$B$1005,$A43))</x:f>
        <x:v>216</x:v>
      </x:c>
      <x:c r="E43" s="19" t="n">
        <x:f>IF($A43="","",SUMIFS('Repeat Detail'!$L$6:$L$1005,'Repeat Detail'!$A$6:$A$1005,"Daily",'Repeat Detail'!$B$6:$B$1005,$A43))</x:f>
        <x:v>31</x:v>
      </x:c>
      <x:c r="F43" s="21" t="n">
        <x:f>IF(A43="","",IF(D43=0,"n.a.",E43/D43))</x:f>
        <x:v>0.14351851851851852</x:v>
      </x:c>
      <x:c r="G43" s="19" t="n">
        <x:f>IF($A43="","",SUMIFS('Repeat Detail'!$M$6:$M$1005,'Repeat Detail'!$A$6:$A$1005,"Daily",'Repeat Detail'!$B$6:$B$1005,$A43))</x:f>
        <x:v>43</x:v>
      </x:c>
      <x:c r="H43" s="21" t="n">
        <x:f>IF(A43="","",IF(C43=0,"n.a.",G43/C43))</x:f>
        <x:v>0.16602316602316602</x:v>
      </x:c>
      <x:c r="I43" s="19" t="n">
        <x:f>IF($A43="","",SUMIFS('Repeat Detail'!$N$6:$N$1005,'Repeat Detail'!$A$6:$A$1005,"Daily",'Repeat Detail'!$B$6:$B$1005,$A43))</x:f>
        <x:v>74</x:v>
      </x:c>
      <x:c r="J43" s="19" t="n">
        <x:f>IF(A43="","",B43-C43)</x:f>
        <x:v>58</x:v>
      </x:c>
    </x:row>
    <x:row r="44" ht="22" customHeight="1">
      <x:c r="A44" s="11" t="n">
        <x:f>IF(A43="","",IF(A43+1&gt;IF(AND(COUNTIF('Repeat Detail'!$A$6:$A$1005,"Quality")=21,COUNTIF('Repeat Detail'!$A$6:$A$1005,"Menu")=12,COUNTIF('Repeat Detail'!$A$6:$A$1005,"Daily")=SUMIFS('Repeat Detail'!$O$6:$O$1005,'Repeat Detail'!$A$6:$A$1005,"Quality",'Repeat Detail'!$H$6:$H$1005,"Date span")),SUMIFS('Repeat Detail'!$O$6:$O$1005,'Repeat Detail'!$A$6:$A$1005,"Quality",'Repeat Detail'!$H$6:$H$1005,"Last date"),NA()),"",A43+1))</x:f>
        <x:v>46258</x:v>
      </x:c>
      <x:c r="B44" s="19" t="n">
        <x:f>IF($A44="","",SUMIFS('Repeat Detail'!$I$6:$I$1005,'Repeat Detail'!$A$6:$A$1005,"Daily",'Repeat Detail'!$B$6:$B$1005,$A44))</x:f>
        <x:v>4585</x:v>
      </x:c>
      <x:c r="C44" s="19" t="n">
        <x:f>IF($A44="","",SUMIFS('Repeat Detail'!$J$6:$J$1005,'Repeat Detail'!$A$6:$A$1005,"Daily",'Repeat Detail'!$B$6:$B$1005,$A44))</x:f>
        <x:v>3912</x:v>
      </x:c>
      <x:c r="D44" s="19" t="n">
        <x:f>IF($A44="","",SUMIFS('Repeat Detail'!$K$6:$K$1005,'Repeat Detail'!$A$6:$A$1005,"Daily",'Repeat Detail'!$B$6:$B$1005,$A44))</x:f>
        <x:v>3127</x:v>
      </x:c>
      <x:c r="E44" s="19" t="n">
        <x:f>IF($A44="","",SUMIFS('Repeat Detail'!$L$6:$L$1005,'Repeat Detail'!$A$6:$A$1005,"Daily",'Repeat Detail'!$B$6:$B$1005,$A44))</x:f>
        <x:v>572</x:v>
      </x:c>
      <x:c r="F44" s="21" t="n">
        <x:f>IF(A44="","",IF(D44=0,"n.a.",E44/D44))</x:f>
        <x:v>0.18292292932523185</x:v>
      </x:c>
      <x:c r="G44" s="19" t="n">
        <x:f>IF($A44="","",SUMIFS('Repeat Detail'!$M$6:$M$1005,'Repeat Detail'!$A$6:$A$1005,"Daily",'Repeat Detail'!$B$6:$B$1005,$A44))</x:f>
        <x:v>785</x:v>
      </x:c>
      <x:c r="H44" s="21" t="n">
        <x:f>IF(A44="","",IF(C44=0,"n.a.",G44/C44))</x:f>
        <x:v>0.2006646216768916</x:v>
      </x:c>
      <x:c r="I44" s="19" t="n">
        <x:f>IF($A44="","",SUMIFS('Repeat Detail'!$N$6:$N$1005,'Repeat Detail'!$A$6:$A$1005,"Daily",'Repeat Detail'!$B$6:$B$1005,$A44))</x:f>
        <x:v>1357</x:v>
      </x:c>
      <x:c r="J44" s="19" t="n">
        <x:f>IF(A44="","",B44-C44)</x:f>
        <x:v>673</x:v>
      </x:c>
    </x:row>
    <x:row r="45" ht="22" customHeight="1">
      <x:c r="A45" s="11" t="n">
        <x:f>IF(A44="","",IF(A44+1&gt;IF(AND(COUNTIF('Repeat Detail'!$A$6:$A$1005,"Quality")=21,COUNTIF('Repeat Detail'!$A$6:$A$1005,"Menu")=12,COUNTIF('Repeat Detail'!$A$6:$A$1005,"Daily")=SUMIFS('Repeat Detail'!$O$6:$O$1005,'Repeat Detail'!$A$6:$A$1005,"Quality",'Repeat Detail'!$H$6:$H$1005,"Date span")),SUMIFS('Repeat Detail'!$O$6:$O$1005,'Repeat Detail'!$A$6:$A$1005,"Quality",'Repeat Detail'!$H$6:$H$1005,"Last date"),NA()),"",A44+1))</x:f>
        <x:v>46259</x:v>
      </x:c>
      <x:c r="B45" s="19" t="n">
        <x:f>IF($A45="","",SUMIFS('Repeat Detail'!$I$6:$I$1005,'Repeat Detail'!$A$6:$A$1005,"Daily",'Repeat Detail'!$B$6:$B$1005,$A45))</x:f>
        <x:v>4396</x:v>
      </x:c>
      <x:c r="C45" s="19" t="n">
        <x:f>IF($A45="","",SUMIFS('Repeat Detail'!$J$6:$J$1005,'Repeat Detail'!$A$6:$A$1005,"Daily",'Repeat Detail'!$B$6:$B$1005,$A45))</x:f>
        <x:v>3779</x:v>
      </x:c>
      <x:c r="D45" s="19" t="n">
        <x:f>IF($A45="","",SUMIFS('Repeat Detail'!$K$6:$K$1005,'Repeat Detail'!$A$6:$A$1005,"Daily",'Repeat Detail'!$B$6:$B$1005,$A45))</x:f>
        <x:v>2956</x:v>
      </x:c>
      <x:c r="E45" s="19" t="n">
        <x:f>IF($A45="","",SUMIFS('Repeat Detail'!$L$6:$L$1005,'Repeat Detail'!$A$6:$A$1005,"Daily",'Repeat Detail'!$B$6:$B$1005,$A45))</x:f>
        <x:v>613</x:v>
      </x:c>
      <x:c r="F45" s="21" t="n">
        <x:f>IF(A45="","",IF(D45=0,"n.a.",E45/D45))</x:f>
        <x:v>0.20737483085250338</x:v>
      </x:c>
      <x:c r="G45" s="19" t="n">
        <x:f>IF($A45="","",SUMIFS('Repeat Detail'!$M$6:$M$1005,'Repeat Detail'!$A$6:$A$1005,"Daily",'Repeat Detail'!$B$6:$B$1005,$A45))</x:f>
        <x:v>823</x:v>
      </x:c>
      <x:c r="H45" s="21" t="n">
        <x:f>IF(A45="","",IF(C45=0,"n.a.",G45/C45))</x:f>
        <x:v>0.21778248213813178</x:v>
      </x:c>
      <x:c r="I45" s="19" t="n">
        <x:f>IF($A45="","",SUMIFS('Repeat Detail'!$N$6:$N$1005,'Repeat Detail'!$A$6:$A$1005,"Daily",'Repeat Detail'!$B$6:$B$1005,$A45))</x:f>
        <x:v>1436</x:v>
      </x:c>
      <x:c r="J45" s="19" t="n">
        <x:f>IF(A45="","",B45-C45)</x:f>
        <x:v>617</x:v>
      </x:c>
    </x:row>
    <x:row r="46">
      <x:c r="A46" s="12" t="n">
        <x:f>IF(A45="","",IF(A45+1&gt;IF(AND(COUNTIF('Repeat Detail'!$A$6:$A$1005,"Quality")=21,COUNTIF('Repeat Detail'!$A$6:$A$1005,"Menu")=12,COUNTIF('Repeat Detail'!$A$6:$A$1005,"Daily")=SUMIFS('Repeat Detail'!$O$6:$O$1005,'Repeat Detail'!$A$6:$A$1005,"Quality",'Repeat Detail'!$H$6:$H$1005,"Date span")),SUMIFS('Repeat Detail'!$O$6:$O$1005,'Repeat Detail'!$A$6:$A$1005,"Quality",'Repeat Detail'!$H$6:$H$1005,"Last date"),NA()),"",A45+1))</x:f>
        <x:v>46260</x:v>
      </x:c>
      <x:c r="B46" s="20" t="n">
        <x:f>IF($A46="","",SUMIFS('Repeat Detail'!$I$6:$I$1005,'Repeat Detail'!$A$6:$A$1005,"Daily",'Repeat Detail'!$B$6:$B$1005,$A46))</x:f>
        <x:v>4166</x:v>
      </x:c>
      <x:c r="C46" s="20" t="n">
        <x:f>IF($A46="","",SUMIFS('Repeat Detail'!$J$6:$J$1005,'Repeat Detail'!$A$6:$A$1005,"Daily",'Repeat Detail'!$B$6:$B$1005,$A46))</x:f>
        <x:v>3483</x:v>
      </x:c>
      <x:c r="D46" s="20" t="n">
        <x:f>IF($A46="","",SUMIFS('Repeat Detail'!$K$6:$K$1005,'Repeat Detail'!$A$6:$A$1005,"Daily",'Repeat Detail'!$B$6:$B$1005,$A46))</x:f>
        <x:v>2706</x:v>
      </x:c>
      <x:c r="E46" s="20" t="n">
        <x:f>IF($A46="","",SUMIFS('Repeat Detail'!$L$6:$L$1005,'Repeat Detail'!$A$6:$A$1005,"Daily",'Repeat Detail'!$B$6:$B$1005,$A46))</x:f>
        <x:v>547</x:v>
      </x:c>
      <x:c r="F46" s="22" t="n">
        <x:f>IF(A46="","",IF(D46=0,"n.a.",E46/D46))</x:f>
        <x:v>0.20214338507021434</x:v>
      </x:c>
      <x:c r="G46" s="20" t="n">
        <x:f>IF($A46="","",SUMIFS('Repeat Detail'!$M$6:$M$1005,'Repeat Detail'!$A$6:$A$1005,"Daily",'Repeat Detail'!$B$6:$B$1005,$A46))</x:f>
        <x:v>777</x:v>
      </x:c>
      <x:c r="H46" s="22" t="n">
        <x:f>IF(A46="","",IF(C46=0,"n.a.",G46/C46))</x:f>
        <x:v>0.223083548664944</x:v>
      </x:c>
      <x:c r="I46" s="20" t="n">
        <x:f>IF($A46="","",SUMIFS('Repeat Detail'!$N$6:$N$1005,'Repeat Detail'!$A$6:$A$1005,"Daily",'Repeat Detail'!$B$6:$B$1005,$A46))</x:f>
        <x:v>1324</x:v>
      </x:c>
      <x:c r="J46" s="20" t="n">
        <x:f>IF(A46="","",B46-C46)</x:f>
        <x:v>683</x:v>
      </x:c>
    </x:row>
    <x:row r="47">
      <x:c r="A47" s="12" t="n">
        <x:f>IF(A46="","",IF(A46+1&gt;IF(AND(COUNTIF('Repeat Detail'!$A$6:$A$1005,"Quality")=21,COUNTIF('Repeat Detail'!$A$6:$A$1005,"Menu")=12,COUNTIF('Repeat Detail'!$A$6:$A$1005,"Daily")=SUMIFS('Repeat Detail'!$O$6:$O$1005,'Repeat Detail'!$A$6:$A$1005,"Quality",'Repeat Detail'!$H$6:$H$1005,"Date span")),SUMIFS('Repeat Detail'!$O$6:$O$1005,'Repeat Detail'!$A$6:$A$1005,"Quality",'Repeat Detail'!$H$6:$H$1005,"Last date"),NA()),"",A46+1))</x:f>
        <x:v>46261</x:v>
      </x:c>
      <x:c r="B47" s="20" t="n">
        <x:f>IF($A47="","",SUMIFS('Repeat Detail'!$I$6:$I$1005,'Repeat Detail'!$A$6:$A$1005,"Daily",'Repeat Detail'!$B$6:$B$1005,$A47))</x:f>
        <x:v>4333</x:v>
      </x:c>
      <x:c r="C47" s="20" t="n">
        <x:f>IF($A47="","",SUMIFS('Repeat Detail'!$J$6:$J$1005,'Repeat Detail'!$A$6:$A$1005,"Daily",'Repeat Detail'!$B$6:$B$1005,$A47))</x:f>
        <x:v>3746</x:v>
      </x:c>
      <x:c r="D47" s="20" t="n">
        <x:f>IF($A47="","",SUMIFS('Repeat Detail'!$K$6:$K$1005,'Repeat Detail'!$A$6:$A$1005,"Daily",'Repeat Detail'!$B$6:$B$1005,$A47))</x:f>
        <x:v>2879</x:v>
      </x:c>
      <x:c r="E47" s="20" t="n">
        <x:f>IF($A47="","",SUMIFS('Repeat Detail'!$L$6:$L$1005,'Repeat Detail'!$A$6:$A$1005,"Daily",'Repeat Detail'!$B$6:$B$1005,$A47))</x:f>
        <x:v>610</x:v>
      </x:c>
      <x:c r="F47" s="22" t="n">
        <x:f>IF(A47="","",IF(D47=0,"n.a.",E47/D47))</x:f>
        <x:v>0.21187912469607503</x:v>
      </x:c>
      <x:c r="G47" s="20" t="n">
        <x:f>IF($A47="","",SUMIFS('Repeat Detail'!$M$6:$M$1005,'Repeat Detail'!$A$6:$A$1005,"Daily",'Repeat Detail'!$B$6:$B$1005,$A47))</x:f>
        <x:v>867</x:v>
      </x:c>
      <x:c r="H47" s="22" t="n">
        <x:f>IF(A47="","",IF(C47=0,"n.a.",G47/C47))</x:f>
        <x:v>0.23144687666844635</x:v>
      </x:c>
      <x:c r="I47" s="20" t="n">
        <x:f>IF($A47="","",SUMIFS('Repeat Detail'!$N$6:$N$1005,'Repeat Detail'!$A$6:$A$1005,"Daily",'Repeat Detail'!$B$6:$B$1005,$A47))</x:f>
        <x:v>1477</x:v>
      </x:c>
      <x:c r="J47" s="20" t="n">
        <x:f>IF(A47="","",B47-C47)</x:f>
        <x:v>587</x:v>
      </x:c>
    </x:row>
    <x:row r="48">
      <x:c r="A48" s="12" t="n">
        <x:f>IF(A47="","",IF(A47+1&gt;IF(AND(COUNTIF('Repeat Detail'!$A$6:$A$1005,"Quality")=21,COUNTIF('Repeat Detail'!$A$6:$A$1005,"Menu")=12,COUNTIF('Repeat Detail'!$A$6:$A$1005,"Daily")=SUMIFS('Repeat Detail'!$O$6:$O$1005,'Repeat Detail'!$A$6:$A$1005,"Quality",'Repeat Detail'!$H$6:$H$1005,"Date span")),SUMIFS('Repeat Detail'!$O$6:$O$1005,'Repeat Detail'!$A$6:$A$1005,"Quality",'Repeat Detail'!$H$6:$H$1005,"Last date"),NA()),"",A47+1))</x:f>
        <x:v>46262</x:v>
      </x:c>
      <x:c r="B48" s="20" t="n">
        <x:f>IF($A48="","",SUMIFS('Repeat Detail'!$I$6:$I$1005,'Repeat Detail'!$A$6:$A$1005,"Daily",'Repeat Detail'!$B$6:$B$1005,$A48))</x:f>
        <x:v>5261</x:v>
      </x:c>
      <x:c r="C48" s="20" t="n">
        <x:f>IF($A48="","",SUMIFS('Repeat Detail'!$J$6:$J$1005,'Repeat Detail'!$A$6:$A$1005,"Daily",'Repeat Detail'!$B$6:$B$1005,$A48))</x:f>
        <x:v>4591</x:v>
      </x:c>
      <x:c r="D48" s="20" t="n">
        <x:f>IF($A48="","",SUMIFS('Repeat Detail'!$K$6:$K$1005,'Repeat Detail'!$A$6:$A$1005,"Daily",'Repeat Detail'!$B$6:$B$1005,$A48))</x:f>
        <x:v>3259</x:v>
      </x:c>
      <x:c r="E48" s="20" t="n">
        <x:f>IF($A48="","",SUMIFS('Repeat Detail'!$L$6:$L$1005,'Repeat Detail'!$A$6:$A$1005,"Daily",'Repeat Detail'!$B$6:$B$1005,$A48))</x:f>
        <x:v>827</x:v>
      </x:c>
      <x:c r="F48" s="22" t="n">
        <x:f>IF(A48="","",IF(D48=0,"n.a.",E48/D48))</x:f>
        <x:v>0.25375882172445535</x:v>
      </x:c>
      <x:c r="G48" s="20" t="n">
        <x:f>IF($A48="","",SUMIFS('Repeat Detail'!$M$6:$M$1005,'Repeat Detail'!$A$6:$A$1005,"Daily",'Repeat Detail'!$B$6:$B$1005,$A48))</x:f>
        <x:v>1332</x:v>
      </x:c>
      <x:c r="H48" s="22" t="n">
        <x:f>IF(A48="","",IF(C48=0,"n.a.",G48/C48))</x:f>
        <x:v>0.2901328686560662</x:v>
      </x:c>
      <x:c r="I48" s="20" t="n">
        <x:f>IF($A48="","",SUMIFS('Repeat Detail'!$N$6:$N$1005,'Repeat Detail'!$A$6:$A$1005,"Daily",'Repeat Detail'!$B$6:$B$1005,$A48))</x:f>
        <x:v>2159</x:v>
      </x:c>
      <x:c r="J48" s="20" t="n">
        <x:f>IF(A48="","",B48-C48)</x:f>
        <x:v>670</x:v>
      </x:c>
    </x:row>
    <x:row r="49">
      <x:c r="A49" s="12" t="n">
        <x:f>IF(A48="","",IF(A48+1&gt;IF(AND(COUNTIF('Repeat Detail'!$A$6:$A$1005,"Quality")=21,COUNTIF('Repeat Detail'!$A$6:$A$1005,"Menu")=12,COUNTIF('Repeat Detail'!$A$6:$A$1005,"Daily")=SUMIFS('Repeat Detail'!$O$6:$O$1005,'Repeat Detail'!$A$6:$A$1005,"Quality",'Repeat Detail'!$H$6:$H$1005,"Date span")),SUMIFS('Repeat Detail'!$O$6:$O$1005,'Repeat Detail'!$A$6:$A$1005,"Quality",'Repeat Detail'!$H$6:$H$1005,"Last date"),NA()),"",A48+1))</x:f>
        <x:v>46263</x:v>
      </x:c>
      <x:c r="B49" s="20" t="n">
        <x:f>IF($A49="","",SUMIFS('Repeat Detail'!$I$6:$I$1005,'Repeat Detail'!$A$6:$A$1005,"Daily",'Repeat Detail'!$B$6:$B$1005,$A49))</x:f>
        <x:v>1425</x:v>
      </x:c>
      <x:c r="C49" s="20" t="n">
        <x:f>IF($A49="","",SUMIFS('Repeat Detail'!$J$6:$J$1005,'Repeat Detail'!$A$6:$A$1005,"Daily",'Repeat Detail'!$B$6:$B$1005,$A49))</x:f>
        <x:v>1252</x:v>
      </x:c>
      <x:c r="D49" s="20" t="n">
        <x:f>IF($A49="","",SUMIFS('Repeat Detail'!$K$6:$K$1005,'Repeat Detail'!$A$6:$A$1005,"Daily",'Repeat Detail'!$B$6:$B$1005,$A49))</x:f>
        <x:v>1022</x:v>
      </x:c>
      <x:c r="E49" s="20" t="n">
        <x:f>IF($A49="","",SUMIFS('Repeat Detail'!$L$6:$L$1005,'Repeat Detail'!$A$6:$A$1005,"Daily",'Repeat Detail'!$B$6:$B$1005,$A49))</x:f>
        <x:v>175</x:v>
      </x:c>
      <x:c r="F49" s="22" t="n">
        <x:f>IF(A49="","",IF(D49=0,"n.a.",E49/D49))</x:f>
        <x:v>0.17123287671232876</x:v>
      </x:c>
      <x:c r="G49" s="20" t="n">
        <x:f>IF($A49="","",SUMIFS('Repeat Detail'!$M$6:$M$1005,'Repeat Detail'!$A$6:$A$1005,"Daily",'Repeat Detail'!$B$6:$B$1005,$A49))</x:f>
        <x:v>230</x:v>
      </x:c>
      <x:c r="H49" s="22" t="n">
        <x:f>IF(A49="","",IF(C49=0,"n.a.",G49/C49))</x:f>
        <x:v>0.18370607028753994</x:v>
      </x:c>
      <x:c r="I49" s="20" t="n">
        <x:f>IF($A49="","",SUMIFS('Repeat Detail'!$N$6:$N$1005,'Repeat Detail'!$A$6:$A$1005,"Daily",'Repeat Detail'!$B$6:$B$1005,$A49))</x:f>
        <x:v>405</x:v>
      </x:c>
      <x:c r="J49" s="20" t="n">
        <x:f>IF(A49="","",B49-C49)</x:f>
        <x:v>173</x:v>
      </x:c>
    </x:row>
    <x:row r="50">
      <x:c r="A50" s="12" t="n">
        <x:f>IF(A49="","",IF(A49+1&gt;IF(AND(COUNTIF('Repeat Detail'!$A$6:$A$1005,"Quality")=21,COUNTIF('Repeat Detail'!$A$6:$A$1005,"Menu")=12,COUNTIF('Repeat Detail'!$A$6:$A$1005,"Daily")=SUMIFS('Repeat Detail'!$O$6:$O$1005,'Repeat Detail'!$A$6:$A$1005,"Quality",'Repeat Detail'!$H$6:$H$1005,"Date span")),SUMIFS('Repeat Detail'!$O$6:$O$1005,'Repeat Detail'!$A$6:$A$1005,"Quality",'Repeat Detail'!$H$6:$H$1005,"Last date"),NA()),"",A49+1))</x:f>
        <x:v>46264</x:v>
      </x:c>
      <x:c r="B50" s="20" t="n">
        <x:f>IF($A50="","",SUMIFS('Repeat Detail'!$I$6:$I$1005,'Repeat Detail'!$A$6:$A$1005,"Daily",'Repeat Detail'!$B$6:$B$1005,$A50))</x:f>
        <x:v>801</x:v>
      </x:c>
      <x:c r="C50" s="20" t="n">
        <x:f>IF($A50="","",SUMIFS('Repeat Detail'!$J$6:$J$1005,'Repeat Detail'!$A$6:$A$1005,"Daily",'Repeat Detail'!$B$6:$B$1005,$A50))</x:f>
        <x:v>721</x:v>
      </x:c>
      <x:c r="D50" s="20" t="n">
        <x:f>IF($A50="","",SUMIFS('Repeat Detail'!$K$6:$K$1005,'Repeat Detail'!$A$6:$A$1005,"Daily",'Repeat Detail'!$B$6:$B$1005,$A50))</x:f>
        <x:v>595</x:v>
      </x:c>
      <x:c r="E50" s="20" t="n">
        <x:f>IF($A50="","",SUMIFS('Repeat Detail'!$L$6:$L$1005,'Repeat Detail'!$A$6:$A$1005,"Daily",'Repeat Detail'!$B$6:$B$1005,$A50))</x:f>
        <x:v>98</x:v>
      </x:c>
      <x:c r="F50" s="22" t="n">
        <x:f>IF(A50="","",IF(D50=0,"n.a.",E50/D50))</x:f>
        <x:v>0.16470588235294117</x:v>
      </x:c>
      <x:c r="G50" s="20" t="n">
        <x:f>IF($A50="","",SUMIFS('Repeat Detail'!$M$6:$M$1005,'Repeat Detail'!$A$6:$A$1005,"Daily",'Repeat Detail'!$B$6:$B$1005,$A50))</x:f>
        <x:v>126</x:v>
      </x:c>
      <x:c r="H50" s="22" t="n">
        <x:f>IF(A50="","",IF(C50=0,"n.a.",G50/C50))</x:f>
        <x:v>0.17475728155339806</x:v>
      </x:c>
      <x:c r="I50" s="20" t="n">
        <x:f>IF($A50="","",SUMIFS('Repeat Detail'!$N$6:$N$1005,'Repeat Detail'!$A$6:$A$1005,"Daily",'Repeat Detail'!$B$6:$B$1005,$A50))</x:f>
        <x:v>224</x:v>
      </x:c>
      <x:c r="J50" s="20" t="n">
        <x:f>IF(A50="","",B50-C50)</x:f>
        <x:v>80</x:v>
      </x:c>
    </x:row>
    <x:row r="51">
      <x:c r="A51" s="12" t="n">
        <x:f>IF(A50="","",IF(A50+1&gt;IF(AND(COUNTIF('Repeat Detail'!$A$6:$A$1005,"Quality")=21,COUNTIF('Repeat Detail'!$A$6:$A$1005,"Menu")=12,COUNTIF('Repeat Detail'!$A$6:$A$1005,"Daily")=SUMIFS('Repeat Detail'!$O$6:$O$1005,'Repeat Detail'!$A$6:$A$1005,"Quality",'Repeat Detail'!$H$6:$H$1005,"Date span")),SUMIFS('Repeat Detail'!$O$6:$O$1005,'Repeat Detail'!$A$6:$A$1005,"Quality",'Repeat Detail'!$H$6:$H$1005,"Last date"),NA()),"",A50+1))</x:f>
        <x:v>46265</x:v>
      </x:c>
      <x:c r="B51" s="20" t="n">
        <x:f>IF($A51="","",SUMIFS('Repeat Detail'!$I$6:$I$1005,'Repeat Detail'!$A$6:$A$1005,"Daily",'Repeat Detail'!$B$6:$B$1005,$A51))</x:f>
        <x:v>7290</x:v>
      </x:c>
      <x:c r="C51" s="20" t="n">
        <x:f>IF($A51="","",SUMIFS('Repeat Detail'!$J$6:$J$1005,'Repeat Detail'!$A$6:$A$1005,"Daily",'Repeat Detail'!$B$6:$B$1005,$A51))</x:f>
        <x:v>6434</x:v>
      </x:c>
      <x:c r="D51" s="20" t="n">
        <x:f>IF($A51="","",SUMIFS('Repeat Detail'!$K$6:$K$1005,'Repeat Detail'!$A$6:$A$1005,"Daily",'Repeat Detail'!$B$6:$B$1005,$A51))</x:f>
        <x:v>4991</x:v>
      </x:c>
      <x:c r="E51" s="20" t="n">
        <x:f>IF($A51="","",SUMIFS('Repeat Detail'!$L$6:$L$1005,'Repeat Detail'!$A$6:$A$1005,"Daily",'Repeat Detail'!$B$6:$B$1005,$A51))</x:f>
        <x:v>1031</x:v>
      </x:c>
      <x:c r="F51" s="22" t="n">
        <x:f>IF(A51="","",IF(D51=0,"n.a.",E51/D51))</x:f>
        <x:v>0.2065718292927269</x:v>
      </x:c>
      <x:c r="G51" s="20" t="n">
        <x:f>IF($A51="","",SUMIFS('Repeat Detail'!$M$6:$M$1005,'Repeat Detail'!$A$6:$A$1005,"Daily",'Repeat Detail'!$B$6:$B$1005,$A51))</x:f>
        <x:v>1443</x:v>
      </x:c>
      <x:c r="H51" s="22" t="n">
        <x:f>IF(A51="","",IF(C51=0,"n.a.",G51/C51))</x:f>
        <x:v>0.2242772769661175</x:v>
      </x:c>
      <x:c r="I51" s="20" t="n">
        <x:f>IF($A51="","",SUMIFS('Repeat Detail'!$N$6:$N$1005,'Repeat Detail'!$A$6:$A$1005,"Daily",'Repeat Detail'!$B$6:$B$1005,$A51))</x:f>
        <x:v>2474</x:v>
      </x:c>
      <x:c r="J51" s="20" t="n">
        <x:f>IF(A51="","",B51-C51)</x:f>
        <x:v>856</x:v>
      </x:c>
    </x:row>
    <x:row r="52">
      <x:c r="A52" s="12" t="n">
        <x:f>IF(A51="","",IF(A51+1&gt;IF(AND(COUNTIF('Repeat Detail'!$A$6:$A$1005,"Quality")=21,COUNTIF('Repeat Detail'!$A$6:$A$1005,"Menu")=12,COUNTIF('Repeat Detail'!$A$6:$A$1005,"Daily")=SUMIFS('Repeat Detail'!$O$6:$O$1005,'Repeat Detail'!$A$6:$A$1005,"Quality",'Repeat Detail'!$H$6:$H$1005,"Date span")),SUMIFS('Repeat Detail'!$O$6:$O$1005,'Repeat Detail'!$A$6:$A$1005,"Quality",'Repeat Detail'!$H$6:$H$1005,"Last date"),NA()),"",A51+1))</x:f>
        <x:v>46266</x:v>
      </x:c>
      <x:c r="B52" s="20" t="n">
        <x:f>IF($A52="","",SUMIFS('Repeat Detail'!$I$6:$I$1005,'Repeat Detail'!$A$6:$A$1005,"Daily",'Repeat Detail'!$B$6:$B$1005,$A52))</x:f>
        <x:v>8109</x:v>
      </x:c>
      <x:c r="C52" s="20" t="n">
        <x:f>IF($A52="","",SUMIFS('Repeat Detail'!$J$6:$J$1005,'Repeat Detail'!$A$6:$A$1005,"Daily",'Repeat Detail'!$B$6:$B$1005,$A52))</x:f>
        <x:v>7280</x:v>
      </x:c>
      <x:c r="D52" s="20" t="n">
        <x:f>IF($A52="","",SUMIFS('Repeat Detail'!$K$6:$K$1005,'Repeat Detail'!$A$6:$A$1005,"Daily",'Repeat Detail'!$B$6:$B$1005,$A52))</x:f>
        <x:v>5755</x:v>
      </x:c>
      <x:c r="E52" s="20" t="n">
        <x:f>IF($A52="","",SUMIFS('Repeat Detail'!$L$6:$L$1005,'Repeat Detail'!$A$6:$A$1005,"Daily",'Repeat Detail'!$B$6:$B$1005,$A52))</x:f>
        <x:v>1081</x:v>
      </x:c>
      <x:c r="F52" s="22" t="n">
        <x:f>IF(A52="","",IF(D52=0,"n.a.",E52/D52))</x:f>
        <x:v>0.18783666377063424</x:v>
      </x:c>
      <x:c r="G52" s="20" t="n">
        <x:f>IF($A52="","",SUMIFS('Repeat Detail'!$M$6:$M$1005,'Repeat Detail'!$A$6:$A$1005,"Daily",'Repeat Detail'!$B$6:$B$1005,$A52))</x:f>
        <x:v>1525</x:v>
      </x:c>
      <x:c r="H52" s="22" t="n">
        <x:f>IF(A52="","",IF(C52=0,"n.a.",G52/C52))</x:f>
        <x:v>0.20947802197802198</x:v>
      </x:c>
      <x:c r="I52" s="20" t="n">
        <x:f>IF($A52="","",SUMIFS('Repeat Detail'!$N$6:$N$1005,'Repeat Detail'!$A$6:$A$1005,"Daily",'Repeat Detail'!$B$6:$B$1005,$A52))</x:f>
        <x:v>2606</x:v>
      </x:c>
      <x:c r="J52" s="20" t="n">
        <x:f>IF(A52="","",B52-C52)</x:f>
        <x:v>829</x:v>
      </x:c>
    </x:row>
    <x:row r="53">
      <x:c r="A53" s="12" t="n">
        <x:f>IF(A52="","",IF(A52+1&gt;IF(AND(COUNTIF('Repeat Detail'!$A$6:$A$1005,"Quality")=21,COUNTIF('Repeat Detail'!$A$6:$A$1005,"Menu")=12,COUNTIF('Repeat Detail'!$A$6:$A$1005,"Daily")=SUMIFS('Repeat Detail'!$O$6:$O$1005,'Repeat Detail'!$A$6:$A$1005,"Quality",'Repeat Detail'!$H$6:$H$1005,"Date span")),SUMIFS('Repeat Detail'!$O$6:$O$1005,'Repeat Detail'!$A$6:$A$1005,"Quality",'Repeat Detail'!$H$6:$H$1005,"Last date"),NA()),"",A52+1))</x:f>
        <x:v>46267</x:v>
      </x:c>
      <x:c r="B53" s="20" t="n">
        <x:f>IF($A53="","",SUMIFS('Repeat Detail'!$I$6:$I$1005,'Repeat Detail'!$A$6:$A$1005,"Daily",'Repeat Detail'!$B$6:$B$1005,$A53))</x:f>
        <x:v>6054</x:v>
      </x:c>
      <x:c r="C53" s="20" t="n">
        <x:f>IF($A53="","",SUMIFS('Repeat Detail'!$J$6:$J$1005,'Repeat Detail'!$A$6:$A$1005,"Daily",'Repeat Detail'!$B$6:$B$1005,$A53))</x:f>
        <x:v>5280</x:v>
      </x:c>
      <x:c r="D53" s="20" t="n">
        <x:f>IF($A53="","",SUMIFS('Repeat Detail'!$K$6:$K$1005,'Repeat Detail'!$A$6:$A$1005,"Daily",'Repeat Detail'!$B$6:$B$1005,$A53))</x:f>
        <x:v>4203</x:v>
      </x:c>
      <x:c r="E53" s="20" t="n">
        <x:f>IF($A53="","",SUMIFS('Repeat Detail'!$L$6:$L$1005,'Repeat Detail'!$A$6:$A$1005,"Daily",'Repeat Detail'!$B$6:$B$1005,$A53))</x:f>
        <x:v>789</x:v>
      </x:c>
      <x:c r="F53" s="22" t="n">
        <x:f>IF(A53="","",IF(D53=0,"n.a.",E53/D53))</x:f>
        <x:v>0.18772305496074232</x:v>
      </x:c>
      <x:c r="G53" s="20" t="n">
        <x:f>IF($A53="","",SUMIFS('Repeat Detail'!$M$6:$M$1005,'Repeat Detail'!$A$6:$A$1005,"Daily",'Repeat Detail'!$B$6:$B$1005,$A53))</x:f>
        <x:v>1077</x:v>
      </x:c>
      <x:c r="H53" s="22" t="n">
        <x:f>IF(A53="","",IF(C53=0,"n.a.",G53/C53))</x:f>
        <x:v>0.20397727272727273</x:v>
      </x:c>
      <x:c r="I53" s="20" t="n">
        <x:f>IF($A53="","",SUMIFS('Repeat Detail'!$N$6:$N$1005,'Repeat Detail'!$A$6:$A$1005,"Daily",'Repeat Detail'!$B$6:$B$1005,$A53))</x:f>
        <x:v>1866</x:v>
      </x:c>
      <x:c r="J53" s="20" t="n">
        <x:f>IF(A53="","",B53-C53)</x:f>
        <x:v>774</x:v>
      </x:c>
    </x:row>
    <x:row r="54">
      <x:c r="A54" s="12" t="n">
        <x:f>IF(A53="","",IF(A53+1&gt;IF(AND(COUNTIF('Repeat Detail'!$A$6:$A$1005,"Quality")=21,COUNTIF('Repeat Detail'!$A$6:$A$1005,"Menu")=12,COUNTIF('Repeat Detail'!$A$6:$A$1005,"Daily")=SUMIFS('Repeat Detail'!$O$6:$O$1005,'Repeat Detail'!$A$6:$A$1005,"Quality",'Repeat Detail'!$H$6:$H$1005,"Date span")),SUMIFS('Repeat Detail'!$O$6:$O$1005,'Repeat Detail'!$A$6:$A$1005,"Quality",'Repeat Detail'!$H$6:$H$1005,"Last date"),NA()),"",A53+1))</x:f>
        <x:v>46268</x:v>
      </x:c>
      <x:c r="B54" s="20" t="n">
        <x:f>IF($A54="","",SUMIFS('Repeat Detail'!$I$6:$I$1005,'Repeat Detail'!$A$6:$A$1005,"Daily",'Repeat Detail'!$B$6:$B$1005,$A54))</x:f>
        <x:v>5528</x:v>
      </x:c>
      <x:c r="C54" s="20" t="n">
        <x:f>IF($A54="","",SUMIFS('Repeat Detail'!$J$6:$J$1005,'Repeat Detail'!$A$6:$A$1005,"Daily",'Repeat Detail'!$B$6:$B$1005,$A54))</x:f>
        <x:v>4857</x:v>
      </x:c>
      <x:c r="D54" s="20" t="n">
        <x:f>IF($A54="","",SUMIFS('Repeat Detail'!$K$6:$K$1005,'Repeat Detail'!$A$6:$A$1005,"Daily",'Repeat Detail'!$B$6:$B$1005,$A54))</x:f>
        <x:v>3967</x:v>
      </x:c>
      <x:c r="E54" s="20" t="n">
        <x:f>IF($A54="","",SUMIFS('Repeat Detail'!$L$6:$L$1005,'Repeat Detail'!$A$6:$A$1005,"Daily",'Repeat Detail'!$B$6:$B$1005,$A54))</x:f>
        <x:v>676</x:v>
      </x:c>
      <x:c r="F54" s="22" t="n">
        <x:f>IF(A54="","",IF(D54=0,"n.a.",E54/D54))</x:f>
        <x:v>0.1704058482480464</x:v>
      </x:c>
      <x:c r="G54" s="20" t="n">
        <x:f>IF($A54="","",SUMIFS('Repeat Detail'!$M$6:$M$1005,'Repeat Detail'!$A$6:$A$1005,"Daily",'Repeat Detail'!$B$6:$B$1005,$A54))</x:f>
        <x:v>890</x:v>
      </x:c>
      <x:c r="H54" s="22" t="n">
        <x:f>IF(A54="","",IF(C54=0,"n.a.",G54/C54))</x:f>
        <x:v>0.18324068354951617</x:v>
      </x:c>
      <x:c r="I54" s="20" t="n">
        <x:f>IF($A54="","",SUMIFS('Repeat Detail'!$N$6:$N$1005,'Repeat Detail'!$A$6:$A$1005,"Daily",'Repeat Detail'!$B$6:$B$1005,$A54))</x:f>
        <x:v>1566</x:v>
      </x:c>
      <x:c r="J54" s="20" t="n">
        <x:f>IF(A54="","",B54-C54)</x:f>
        <x:v>671</x:v>
      </x:c>
    </x:row>
    <x:row r="55">
      <x:c r="A55" s="12" t="n">
        <x:f>IF(A54="","",IF(A54+1&gt;IF(AND(COUNTIF('Repeat Detail'!$A$6:$A$1005,"Quality")=21,COUNTIF('Repeat Detail'!$A$6:$A$1005,"Menu")=12,COUNTIF('Repeat Detail'!$A$6:$A$1005,"Daily")=SUMIFS('Repeat Detail'!$O$6:$O$1005,'Repeat Detail'!$A$6:$A$1005,"Quality",'Repeat Detail'!$H$6:$H$1005,"Date span")),SUMIFS('Repeat Detail'!$O$6:$O$1005,'Repeat Detail'!$A$6:$A$1005,"Quality",'Repeat Detail'!$H$6:$H$1005,"Last date"),NA()),"",A54+1))</x:f>
        <x:v>46269</x:v>
      </x:c>
      <x:c r="B55" s="20" t="n">
        <x:f>IF($A55="","",SUMIFS('Repeat Detail'!$I$6:$I$1005,'Repeat Detail'!$A$6:$A$1005,"Daily",'Repeat Detail'!$B$6:$B$1005,$A55))</x:f>
        <x:v>6002</x:v>
      </x:c>
      <x:c r="C55" s="20" t="n">
        <x:f>IF($A55="","",SUMIFS('Repeat Detail'!$J$6:$J$1005,'Repeat Detail'!$A$6:$A$1005,"Daily",'Repeat Detail'!$B$6:$B$1005,$A55))</x:f>
        <x:v>5203</x:v>
      </x:c>
      <x:c r="D55" s="20" t="n">
        <x:f>IF($A55="","",SUMIFS('Repeat Detail'!$K$6:$K$1005,'Repeat Detail'!$A$6:$A$1005,"Daily",'Repeat Detail'!$B$6:$B$1005,$A55))</x:f>
        <x:v>4129</x:v>
      </x:c>
      <x:c r="E55" s="20" t="n">
        <x:f>IF($A55="","",SUMIFS('Repeat Detail'!$L$6:$L$1005,'Repeat Detail'!$A$6:$A$1005,"Daily",'Repeat Detail'!$B$6:$B$1005,$A55))</x:f>
        <x:v>769</x:v>
      </x:c>
      <x:c r="F55" s="22" t="n">
        <x:f>IF(A55="","",IF(D55=0,"n.a.",E55/D55))</x:f>
        <x:v>0.18624364252845726</x:v>
      </x:c>
      <x:c r="G55" s="20" t="n">
        <x:f>IF($A55="","",SUMIFS('Repeat Detail'!$M$6:$M$1005,'Repeat Detail'!$A$6:$A$1005,"Daily",'Repeat Detail'!$B$6:$B$1005,$A55))</x:f>
        <x:v>1074</x:v>
      </x:c>
      <x:c r="H55" s="22" t="n">
        <x:f>IF(A55="","",IF(C55=0,"n.a.",G55/C55))</x:f>
        <x:v>0.20641937343840092</x:v>
      </x:c>
      <x:c r="I55" s="20" t="n">
        <x:f>IF($A55="","",SUMIFS('Repeat Detail'!$N$6:$N$1005,'Repeat Detail'!$A$6:$A$1005,"Daily",'Repeat Detail'!$B$6:$B$1005,$A55))</x:f>
        <x:v>1843</x:v>
      </x:c>
      <x:c r="J55" s="20" t="n">
        <x:f>IF(A55="","",B55-C55)</x:f>
        <x:v>799</x:v>
      </x:c>
    </x:row>
    <x:row r="56">
      <x:c r="A56" s="12" t="n">
        <x:f>IF(A55="","",IF(A55+1&gt;IF(AND(COUNTIF('Repeat Detail'!$A$6:$A$1005,"Quality")=21,COUNTIF('Repeat Detail'!$A$6:$A$1005,"Menu")=12,COUNTIF('Repeat Detail'!$A$6:$A$1005,"Daily")=SUMIFS('Repeat Detail'!$O$6:$O$1005,'Repeat Detail'!$A$6:$A$1005,"Quality",'Repeat Detail'!$H$6:$H$1005,"Date span")),SUMIFS('Repeat Detail'!$O$6:$O$1005,'Repeat Detail'!$A$6:$A$1005,"Quality",'Repeat Detail'!$H$6:$H$1005,"Last date"),NA()),"",A55+1))</x:f>
        <x:v>46270</x:v>
      </x:c>
      <x:c r="B56" s="20" t="n">
        <x:f>IF($A56="","",SUMIFS('Repeat Detail'!$I$6:$I$1005,'Repeat Detail'!$A$6:$A$1005,"Daily",'Repeat Detail'!$B$6:$B$1005,$A56))</x:f>
        <x:v>1630</x:v>
      </x:c>
      <x:c r="C56" s="20" t="n">
        <x:f>IF($A56="","",SUMIFS('Repeat Detail'!$J$6:$J$1005,'Repeat Detail'!$A$6:$A$1005,"Daily",'Repeat Detail'!$B$6:$B$1005,$A56))</x:f>
        <x:v>1424</x:v>
      </x:c>
      <x:c r="D56" s="20" t="n">
        <x:f>IF($A56="","",SUMIFS('Repeat Detail'!$K$6:$K$1005,'Repeat Detail'!$A$6:$A$1005,"Daily",'Repeat Detail'!$B$6:$B$1005,$A56))</x:f>
        <x:v>1179</x:v>
      </x:c>
      <x:c r="E56" s="20" t="n">
        <x:f>IF($A56="","",SUMIFS('Repeat Detail'!$L$6:$L$1005,'Repeat Detail'!$A$6:$A$1005,"Daily",'Repeat Detail'!$B$6:$B$1005,$A56))</x:f>
        <x:v>180</x:v>
      </x:c>
      <x:c r="F56" s="22" t="n">
        <x:f>IF(A56="","",IF(D56=0,"n.a.",E56/D56))</x:f>
        <x:v>0.15267175572519084</x:v>
      </x:c>
      <x:c r="G56" s="20" t="n">
        <x:f>IF($A56="","",SUMIFS('Repeat Detail'!$M$6:$M$1005,'Repeat Detail'!$A$6:$A$1005,"Daily",'Repeat Detail'!$B$6:$B$1005,$A56))</x:f>
        <x:v>245</x:v>
      </x:c>
      <x:c r="H56" s="22" t="n">
        <x:f>IF(A56="","",IF(C56=0,"n.a.",G56/C56))</x:f>
        <x:v>0.1720505617977528</x:v>
      </x:c>
      <x:c r="I56" s="20" t="n">
        <x:f>IF($A56="","",SUMIFS('Repeat Detail'!$N$6:$N$1005,'Repeat Detail'!$A$6:$A$1005,"Daily",'Repeat Detail'!$B$6:$B$1005,$A56))</x:f>
        <x:v>425</x:v>
      </x:c>
      <x:c r="J56" s="20" t="n">
        <x:f>IF(A56="","",B56-C56)</x:f>
        <x:v>206</x:v>
      </x:c>
    </x:row>
    <x:row r="57">
      <x:c r="A57" s="12" t="n">
        <x:f>IF(A56="","",IF(A56+1&gt;IF(AND(COUNTIF('Repeat Detail'!$A$6:$A$1005,"Quality")=21,COUNTIF('Repeat Detail'!$A$6:$A$1005,"Menu")=12,COUNTIF('Repeat Detail'!$A$6:$A$1005,"Daily")=SUMIFS('Repeat Detail'!$O$6:$O$1005,'Repeat Detail'!$A$6:$A$1005,"Quality",'Repeat Detail'!$H$6:$H$1005,"Date span")),SUMIFS('Repeat Detail'!$O$6:$O$1005,'Repeat Detail'!$A$6:$A$1005,"Quality",'Repeat Detail'!$H$6:$H$1005,"Last date"),NA()),"",A56+1))</x:f>
        <x:v>46271</x:v>
      </x:c>
      <x:c r="B57" s="20" t="n">
        <x:f>IF($A57="","",SUMIFS('Repeat Detail'!$I$6:$I$1005,'Repeat Detail'!$A$6:$A$1005,"Daily",'Repeat Detail'!$B$6:$B$1005,$A57))</x:f>
        <x:v>739</x:v>
      </x:c>
      <x:c r="C57" s="20" t="n">
        <x:f>IF($A57="","",SUMIFS('Repeat Detail'!$J$6:$J$1005,'Repeat Detail'!$A$6:$A$1005,"Daily",'Repeat Detail'!$B$6:$B$1005,$A57))</x:f>
        <x:v>648</x:v>
      </x:c>
      <x:c r="D57" s="20" t="n">
        <x:f>IF($A57="","",SUMIFS('Repeat Detail'!$K$6:$K$1005,'Repeat Detail'!$A$6:$A$1005,"Daily",'Repeat Detail'!$B$6:$B$1005,$A57))</x:f>
        <x:v>544</x:v>
      </x:c>
      <x:c r="E57" s="20" t="n">
        <x:f>IF($A57="","",SUMIFS('Repeat Detail'!$L$6:$L$1005,'Repeat Detail'!$A$6:$A$1005,"Daily",'Repeat Detail'!$B$6:$B$1005,$A57))</x:f>
        <x:v>79</x:v>
      </x:c>
      <x:c r="F57" s="22" t="n">
        <x:f>IF(A57="","",IF(D57=0,"n.a.",E57/D57))</x:f>
        <x:v>0.14522058823529413</x:v>
      </x:c>
      <x:c r="G57" s="20" t="n">
        <x:f>IF($A57="","",SUMIFS('Repeat Detail'!$M$6:$M$1005,'Repeat Detail'!$A$6:$A$1005,"Daily",'Repeat Detail'!$B$6:$B$1005,$A57))</x:f>
        <x:v>104</x:v>
      </x:c>
      <x:c r="H57" s="22" t="n">
        <x:f>IF(A57="","",IF(C57=0,"n.a.",G57/C57))</x:f>
        <x:v>0.16049382716049382</x:v>
      </x:c>
      <x:c r="I57" s="20" t="n">
        <x:f>IF($A57="","",SUMIFS('Repeat Detail'!$N$6:$N$1005,'Repeat Detail'!$A$6:$A$1005,"Daily",'Repeat Detail'!$B$6:$B$1005,$A57))</x:f>
        <x:v>183</x:v>
      </x:c>
      <x:c r="J57" s="20" t="n">
        <x:f>IF(A57="","",B57-C57)</x:f>
        <x:v>91</x:v>
      </x:c>
    </x:row>
    <x:row r="58">
      <x:c r="A58" s="12" t="n">
        <x:f>IF(A57="","",IF(A57+1&gt;IF(AND(COUNTIF('Repeat Detail'!$A$6:$A$1005,"Quality")=21,COUNTIF('Repeat Detail'!$A$6:$A$1005,"Menu")=12,COUNTIF('Repeat Detail'!$A$6:$A$1005,"Daily")=SUMIFS('Repeat Detail'!$O$6:$O$1005,'Repeat Detail'!$A$6:$A$1005,"Quality",'Repeat Detail'!$H$6:$H$1005,"Date span")),SUMIFS('Repeat Detail'!$O$6:$O$1005,'Repeat Detail'!$A$6:$A$1005,"Quality",'Repeat Detail'!$H$6:$H$1005,"Last date"),NA()),"",A57+1))</x:f>
        <x:v>46272</x:v>
      </x:c>
      <x:c r="B58" s="20" t="n">
        <x:f>IF($A58="","",SUMIFS('Repeat Detail'!$I$6:$I$1005,'Repeat Detail'!$A$6:$A$1005,"Daily",'Repeat Detail'!$B$6:$B$1005,$A58))</x:f>
        <x:v>1353</x:v>
      </x:c>
      <x:c r="C58" s="20" t="n">
        <x:f>IF($A58="","",SUMIFS('Repeat Detail'!$J$6:$J$1005,'Repeat Detail'!$A$6:$A$1005,"Daily",'Repeat Detail'!$B$6:$B$1005,$A58))</x:f>
        <x:v>1178</x:v>
      </x:c>
      <x:c r="D58" s="20" t="n">
        <x:f>IF($A58="","",SUMIFS('Repeat Detail'!$K$6:$K$1005,'Repeat Detail'!$A$6:$A$1005,"Daily",'Repeat Detail'!$B$6:$B$1005,$A58))</x:f>
        <x:v>1028</x:v>
      </x:c>
      <x:c r="E58" s="20" t="n">
        <x:f>IF($A58="","",SUMIFS('Repeat Detail'!$L$6:$L$1005,'Repeat Detail'!$A$6:$A$1005,"Daily",'Repeat Detail'!$B$6:$B$1005,$A58))</x:f>
        <x:v>119</x:v>
      </x:c>
      <x:c r="F58" s="22" t="n">
        <x:f>IF(A58="","",IF(D58=0,"n.a.",E58/D58))</x:f>
        <x:v>0.11575875486381323</x:v>
      </x:c>
      <x:c r="G58" s="20" t="n">
        <x:f>IF($A58="","",SUMIFS('Repeat Detail'!$M$6:$M$1005,'Repeat Detail'!$A$6:$A$1005,"Daily",'Repeat Detail'!$B$6:$B$1005,$A58))</x:f>
        <x:v>150</x:v>
      </x:c>
      <x:c r="H58" s="22" t="n">
        <x:f>IF(A58="","",IF(C58=0,"n.a.",G58/C58))</x:f>
        <x:v>0.1273344651952462</x:v>
      </x:c>
      <x:c r="I58" s="20" t="n">
        <x:f>IF($A58="","",SUMIFS('Repeat Detail'!$N$6:$N$1005,'Repeat Detail'!$A$6:$A$1005,"Daily",'Repeat Detail'!$B$6:$B$1005,$A58))</x:f>
        <x:v>269</x:v>
      </x:c>
      <x:c r="J58" s="20" t="n">
        <x:f>IF(A58="","",B58-C58)</x:f>
        <x:v>175</x:v>
      </x:c>
    </x:row>
    <x:row r="59">
      <x:c r="A59" s="12" t="n">
        <x:f>IF(A58="","",IF(A58+1&gt;IF(AND(COUNTIF('Repeat Detail'!$A$6:$A$1005,"Quality")=21,COUNTIF('Repeat Detail'!$A$6:$A$1005,"Menu")=12,COUNTIF('Repeat Detail'!$A$6:$A$1005,"Daily")=SUMIFS('Repeat Detail'!$O$6:$O$1005,'Repeat Detail'!$A$6:$A$1005,"Quality",'Repeat Detail'!$H$6:$H$1005,"Date span")),SUMIFS('Repeat Detail'!$O$6:$O$1005,'Repeat Detail'!$A$6:$A$1005,"Quality",'Repeat Detail'!$H$6:$H$1005,"Last date"),NA()),"",A58+1))</x:f>
        <x:v>46273</x:v>
      </x:c>
      <x:c r="B59" s="20" t="n">
        <x:f>IF($A59="","",SUMIFS('Repeat Detail'!$I$6:$I$1005,'Repeat Detail'!$A$6:$A$1005,"Daily",'Repeat Detail'!$B$6:$B$1005,$A59))</x:f>
        <x:v>6439</x:v>
      </x:c>
      <x:c r="C59" s="20" t="n">
        <x:f>IF($A59="","",SUMIFS('Repeat Detail'!$J$6:$J$1005,'Repeat Detail'!$A$6:$A$1005,"Daily",'Repeat Detail'!$B$6:$B$1005,$A59))</x:f>
        <x:v>5562</x:v>
      </x:c>
      <x:c r="D59" s="20" t="n">
        <x:f>IF($A59="","",SUMIFS('Repeat Detail'!$K$6:$K$1005,'Repeat Detail'!$A$6:$A$1005,"Daily",'Repeat Detail'!$B$6:$B$1005,$A59))</x:f>
        <x:v>4411</x:v>
      </x:c>
      <x:c r="E59" s="20" t="n">
        <x:f>IF($A59="","",SUMIFS('Repeat Detail'!$L$6:$L$1005,'Repeat Detail'!$A$6:$A$1005,"Daily",'Repeat Detail'!$B$6:$B$1005,$A59))</x:f>
        <x:v>858</x:v>
      </x:c>
      <x:c r="F59" s="22" t="n">
        <x:f>IF(A59="","",IF(D59=0,"n.a.",E59/D59))</x:f>
        <x:v>0.19451371571072318</x:v>
      </x:c>
      <x:c r="G59" s="20" t="n">
        <x:f>IF($A59="","",SUMIFS('Repeat Detail'!$M$6:$M$1005,'Repeat Detail'!$A$6:$A$1005,"Daily",'Repeat Detail'!$B$6:$B$1005,$A59))</x:f>
        <x:v>1151</x:v>
      </x:c>
      <x:c r="H59" s="22" t="n">
        <x:f>IF(A59="","",IF(C59=0,"n.a.",G59/C59))</x:f>
        <x:v>0.20693994965839627</x:v>
      </x:c>
      <x:c r="I59" s="20" t="n">
        <x:f>IF($A59="","",SUMIFS('Repeat Detail'!$N$6:$N$1005,'Repeat Detail'!$A$6:$A$1005,"Daily",'Repeat Detail'!$B$6:$B$1005,$A59))</x:f>
        <x:v>2009</x:v>
      </x:c>
      <x:c r="J59" s="20" t="n">
        <x:f>IF(A59="","",B59-C59)</x:f>
        <x:v>877</x:v>
      </x:c>
    </x:row>
    <x:row r="60">
      <x:c r="A60" s="12" t="n">
        <x:f>IF(A59="","",IF(A59+1&gt;IF(AND(COUNTIF('Repeat Detail'!$A$6:$A$1005,"Quality")=21,COUNTIF('Repeat Detail'!$A$6:$A$1005,"Menu")=12,COUNTIF('Repeat Detail'!$A$6:$A$1005,"Daily")=SUMIFS('Repeat Detail'!$O$6:$O$1005,'Repeat Detail'!$A$6:$A$1005,"Quality",'Repeat Detail'!$H$6:$H$1005,"Date span")),SUMIFS('Repeat Detail'!$O$6:$O$1005,'Repeat Detail'!$A$6:$A$1005,"Quality",'Repeat Detail'!$H$6:$H$1005,"Last date"),NA()),"",A59+1))</x:f>
        <x:v>46274</x:v>
      </x:c>
      <x:c r="B60" s="20" t="n">
        <x:f>IF($A60="","",SUMIFS('Repeat Detail'!$I$6:$I$1005,'Repeat Detail'!$A$6:$A$1005,"Daily",'Repeat Detail'!$B$6:$B$1005,$A60))</x:f>
        <x:v>6112</x:v>
      </x:c>
      <x:c r="C60" s="20" t="n">
        <x:f>IF($A60="","",SUMIFS('Repeat Detail'!$J$6:$J$1005,'Repeat Detail'!$A$6:$A$1005,"Daily",'Repeat Detail'!$B$6:$B$1005,$A60))</x:f>
        <x:v>5333</x:v>
      </x:c>
      <x:c r="D60" s="20" t="n">
        <x:f>IF($A60="","",SUMIFS('Repeat Detail'!$K$6:$K$1005,'Repeat Detail'!$A$6:$A$1005,"Daily",'Repeat Detail'!$B$6:$B$1005,$A60))</x:f>
        <x:v>4232</x:v>
      </x:c>
      <x:c r="E60" s="20" t="n">
        <x:f>IF($A60="","",SUMIFS('Repeat Detail'!$L$6:$L$1005,'Repeat Detail'!$A$6:$A$1005,"Daily",'Repeat Detail'!$B$6:$B$1005,$A60))</x:f>
        <x:v>787</x:v>
      </x:c>
      <x:c r="F60" s="22" t="n">
        <x:f>IF(A60="","",IF(D60=0,"n.a.",E60/D60))</x:f>
        <x:v>0.1859640831758034</x:v>
      </x:c>
      <x:c r="G60" s="20" t="n">
        <x:f>IF($A60="","",SUMIFS('Repeat Detail'!$M$6:$M$1005,'Repeat Detail'!$A$6:$A$1005,"Daily",'Repeat Detail'!$B$6:$B$1005,$A60))</x:f>
        <x:v>1101</x:v>
      </x:c>
      <x:c r="H60" s="22" t="n">
        <x:f>IF(A60="","",IF(C60=0,"n.a.",G60/C60))</x:f>
        <x:v>0.2064504031501969</x:v>
      </x:c>
      <x:c r="I60" s="20" t="n">
        <x:f>IF($A60="","",SUMIFS('Repeat Detail'!$N$6:$N$1005,'Repeat Detail'!$A$6:$A$1005,"Daily",'Repeat Detail'!$B$6:$B$1005,$A60))</x:f>
        <x:v>1888</x:v>
      </x:c>
      <x:c r="J60" s="20" t="n">
        <x:f>IF(A60="","",B60-C60)</x:f>
        <x:v>779</x:v>
      </x:c>
    </x:row>
    <x:row r="61">
      <x:c r="A61" s="12" t="n">
        <x:f>IF(A60="","",IF(A60+1&gt;IF(AND(COUNTIF('Repeat Detail'!$A$6:$A$1005,"Quality")=21,COUNTIF('Repeat Detail'!$A$6:$A$1005,"Menu")=12,COUNTIF('Repeat Detail'!$A$6:$A$1005,"Daily")=SUMIFS('Repeat Detail'!$O$6:$O$1005,'Repeat Detail'!$A$6:$A$1005,"Quality",'Repeat Detail'!$H$6:$H$1005,"Date span")),SUMIFS('Repeat Detail'!$O$6:$O$1005,'Repeat Detail'!$A$6:$A$1005,"Quality",'Repeat Detail'!$H$6:$H$1005,"Last date"),NA()),"",A60+1))</x:f>
        <x:v>46275</x:v>
      </x:c>
      <x:c r="B61" s="20" t="n">
        <x:f>IF($A61="","",SUMIFS('Repeat Detail'!$I$6:$I$1005,'Repeat Detail'!$A$6:$A$1005,"Daily",'Repeat Detail'!$B$6:$B$1005,$A61))</x:f>
        <x:v>5899</x:v>
      </x:c>
      <x:c r="C61" s="20" t="n">
        <x:f>IF($A61="","",SUMIFS('Repeat Detail'!$J$6:$J$1005,'Repeat Detail'!$A$6:$A$1005,"Daily",'Repeat Detail'!$B$6:$B$1005,$A61))</x:f>
        <x:v>5069</x:v>
      </x:c>
      <x:c r="D61" s="20" t="n">
        <x:f>IF($A61="","",SUMIFS('Repeat Detail'!$K$6:$K$1005,'Repeat Detail'!$A$6:$A$1005,"Daily",'Repeat Detail'!$B$6:$B$1005,$A61))</x:f>
        <x:v>4044</x:v>
      </x:c>
      <x:c r="E61" s="20" t="n">
        <x:f>IF($A61="","",SUMIFS('Repeat Detail'!$L$6:$L$1005,'Repeat Detail'!$A$6:$A$1005,"Daily",'Repeat Detail'!$B$6:$B$1005,$A61))</x:f>
        <x:v>732</x:v>
      </x:c>
      <x:c r="F61" s="22" t="n">
        <x:f>IF(A61="","",IF(D61=0,"n.a.",E61/D61))</x:f>
        <x:v>0.18100890207715134</x:v>
      </x:c>
      <x:c r="G61" s="20" t="n">
        <x:f>IF($A61="","",SUMIFS('Repeat Detail'!$M$6:$M$1005,'Repeat Detail'!$A$6:$A$1005,"Daily",'Repeat Detail'!$B$6:$B$1005,$A61))</x:f>
        <x:v>1025</x:v>
      </x:c>
      <x:c r="H61" s="22" t="n">
        <x:f>IF(A61="","",IF(C61=0,"n.a.",G61/C61))</x:f>
        <x:v>0.20220950877885185</x:v>
      </x:c>
      <x:c r="I61" s="20" t="n">
        <x:f>IF($A61="","",SUMIFS('Repeat Detail'!$N$6:$N$1005,'Repeat Detail'!$A$6:$A$1005,"Daily",'Repeat Detail'!$B$6:$B$1005,$A61))</x:f>
        <x:v>1757</x:v>
      </x:c>
      <x:c r="J61" s="20" t="n">
        <x:f>IF(A61="","",B61-C61)</x:f>
        <x:v>830</x:v>
      </x:c>
    </x:row>
    <x:row r="62">
      <x:c r="A62" s="12" t="n">
        <x:f>IF(A61="","",IF(A61+1&gt;IF(AND(COUNTIF('Repeat Detail'!$A$6:$A$1005,"Quality")=21,COUNTIF('Repeat Detail'!$A$6:$A$1005,"Menu")=12,COUNTIF('Repeat Detail'!$A$6:$A$1005,"Daily")=SUMIFS('Repeat Detail'!$O$6:$O$1005,'Repeat Detail'!$A$6:$A$1005,"Quality",'Repeat Detail'!$H$6:$H$1005,"Date span")),SUMIFS('Repeat Detail'!$O$6:$O$1005,'Repeat Detail'!$A$6:$A$1005,"Quality",'Repeat Detail'!$H$6:$H$1005,"Last date"),NA()),"",A61+1))</x:f>
        <x:v>46276</x:v>
      </x:c>
      <x:c r="B62" s="20" t="n">
        <x:f>IF($A62="","",SUMIFS('Repeat Detail'!$I$6:$I$1005,'Repeat Detail'!$A$6:$A$1005,"Daily",'Repeat Detail'!$B$6:$B$1005,$A62))</x:f>
        <x:v>5729</x:v>
      </x:c>
      <x:c r="C62" s="20" t="n">
        <x:f>IF($A62="","",SUMIFS('Repeat Detail'!$J$6:$J$1005,'Repeat Detail'!$A$6:$A$1005,"Daily",'Repeat Detail'!$B$6:$B$1005,$A62))</x:f>
        <x:v>4975</x:v>
      </x:c>
      <x:c r="D62" s="20" t="n">
        <x:f>IF($A62="","",SUMIFS('Repeat Detail'!$K$6:$K$1005,'Repeat Detail'!$A$6:$A$1005,"Daily",'Repeat Detail'!$B$6:$B$1005,$A62))</x:f>
        <x:v>4048</x:v>
      </x:c>
      <x:c r="E62" s="20" t="n">
        <x:f>IF($A62="","",SUMIFS('Repeat Detail'!$L$6:$L$1005,'Repeat Detail'!$A$6:$A$1005,"Daily",'Repeat Detail'!$B$6:$B$1005,$A62))</x:f>
        <x:v>672</x:v>
      </x:c>
      <x:c r="F62" s="22" t="n">
        <x:f>IF(A62="","",IF(D62=0,"n.a.",E62/D62))</x:f>
        <x:v>0.16600790513833993</x:v>
      </x:c>
      <x:c r="G62" s="20" t="n">
        <x:f>IF($A62="","",SUMIFS('Repeat Detail'!$M$6:$M$1005,'Repeat Detail'!$A$6:$A$1005,"Daily",'Repeat Detail'!$B$6:$B$1005,$A62))</x:f>
        <x:v>927</x:v>
      </x:c>
      <x:c r="H62" s="22" t="n">
        <x:f>IF(A62="","",IF(C62=0,"n.a.",G62/C62))</x:f>
        <x:v>0.18633165829145729</x:v>
      </x:c>
      <x:c r="I62" s="20" t="n">
        <x:f>IF($A62="","",SUMIFS('Repeat Detail'!$N$6:$N$1005,'Repeat Detail'!$A$6:$A$1005,"Daily",'Repeat Detail'!$B$6:$B$1005,$A62))</x:f>
        <x:v>1599</x:v>
      </x:c>
      <x:c r="J62" s="20" t="n">
        <x:f>IF(A62="","",B62-C62)</x:f>
        <x:v>754</x:v>
      </x:c>
    </x:row>
    <x:row r="63">
      <x:c r="A63" s="12" t="n">
        <x:f>IF(A62="","",IF(A62+1&gt;IF(AND(COUNTIF('Repeat Detail'!$A$6:$A$1005,"Quality")=21,COUNTIF('Repeat Detail'!$A$6:$A$1005,"Menu")=12,COUNTIF('Repeat Detail'!$A$6:$A$1005,"Daily")=SUMIFS('Repeat Detail'!$O$6:$O$1005,'Repeat Detail'!$A$6:$A$1005,"Quality",'Repeat Detail'!$H$6:$H$1005,"Date span")),SUMIFS('Repeat Detail'!$O$6:$O$1005,'Repeat Detail'!$A$6:$A$1005,"Quality",'Repeat Detail'!$H$6:$H$1005,"Last date"),NA()),"",A62+1))</x:f>
        <x:v>46277</x:v>
      </x:c>
      <x:c r="B63" s="20" t="n">
        <x:f>IF($A63="","",SUMIFS('Repeat Detail'!$I$6:$I$1005,'Repeat Detail'!$A$6:$A$1005,"Daily",'Repeat Detail'!$B$6:$B$1005,$A63))</x:f>
        <x:v>1779</x:v>
      </x:c>
      <x:c r="C63" s="20" t="n">
        <x:f>IF($A63="","",SUMIFS('Repeat Detail'!$J$6:$J$1005,'Repeat Detail'!$A$6:$A$1005,"Daily",'Repeat Detail'!$B$6:$B$1005,$A63))</x:f>
        <x:v>1557</x:v>
      </x:c>
      <x:c r="D63" s="20" t="n">
        <x:f>IF($A63="","",SUMIFS('Repeat Detail'!$K$6:$K$1005,'Repeat Detail'!$A$6:$A$1005,"Daily",'Repeat Detail'!$B$6:$B$1005,$A63))</x:f>
        <x:v>1297</x:v>
      </x:c>
      <x:c r="E63" s="20" t="n">
        <x:f>IF($A63="","",SUMIFS('Repeat Detail'!$L$6:$L$1005,'Repeat Detail'!$A$6:$A$1005,"Daily",'Repeat Detail'!$B$6:$B$1005,$A63))</x:f>
        <x:v>202</x:v>
      </x:c>
      <x:c r="F63" s="22" t="n">
        <x:f>IF(A63="","",IF(D63=0,"n.a.",E63/D63))</x:f>
        <x:v>0.15574402467232074</x:v>
      </x:c>
      <x:c r="G63" s="20" t="n">
        <x:f>IF($A63="","",SUMIFS('Repeat Detail'!$M$6:$M$1005,'Repeat Detail'!$A$6:$A$1005,"Daily",'Repeat Detail'!$B$6:$B$1005,$A63))</x:f>
        <x:v>260</x:v>
      </x:c>
      <x:c r="H63" s="22" t="n">
        <x:f>IF(A63="","",IF(C63=0,"n.a.",G63/C63))</x:f>
        <x:v>0.16698779704560052</x:v>
      </x:c>
      <x:c r="I63" s="20" t="n">
        <x:f>IF($A63="","",SUMIFS('Repeat Detail'!$N$6:$N$1005,'Repeat Detail'!$A$6:$A$1005,"Daily",'Repeat Detail'!$B$6:$B$1005,$A63))</x:f>
        <x:v>462</x:v>
      </x:c>
      <x:c r="J63" s="20" t="n">
        <x:f>IF(A63="","",B63-C63)</x:f>
        <x:v>222</x:v>
      </x:c>
    </x:row>
    <x:row r="64">
      <x:c r="A64" s="12" t="n">
        <x:f>IF(A63="","",IF(A63+1&gt;IF(AND(COUNTIF('Repeat Detail'!$A$6:$A$1005,"Quality")=21,COUNTIF('Repeat Detail'!$A$6:$A$1005,"Menu")=12,COUNTIF('Repeat Detail'!$A$6:$A$1005,"Daily")=SUMIFS('Repeat Detail'!$O$6:$O$1005,'Repeat Detail'!$A$6:$A$1005,"Quality",'Repeat Detail'!$H$6:$H$1005,"Date span")),SUMIFS('Repeat Detail'!$O$6:$O$1005,'Repeat Detail'!$A$6:$A$1005,"Quality",'Repeat Detail'!$H$6:$H$1005,"Last date"),NA()),"",A63+1))</x:f>
        <x:v>46278</x:v>
      </x:c>
      <x:c r="B64" s="20" t="n">
        <x:f>IF($A64="","",SUMIFS('Repeat Detail'!$I$6:$I$1005,'Repeat Detail'!$A$6:$A$1005,"Daily",'Repeat Detail'!$B$6:$B$1005,$A64))</x:f>
        <x:v>938</x:v>
      </x:c>
      <x:c r="C64" s="20" t="n">
        <x:f>IF($A64="","",SUMIFS('Repeat Detail'!$J$6:$J$1005,'Repeat Detail'!$A$6:$A$1005,"Daily",'Repeat Detail'!$B$6:$B$1005,$A64))</x:f>
        <x:v>837</x:v>
      </x:c>
      <x:c r="D64" s="20" t="n">
        <x:f>IF($A64="","",SUMIFS('Repeat Detail'!$K$6:$K$1005,'Repeat Detail'!$A$6:$A$1005,"Daily",'Repeat Detail'!$B$6:$B$1005,$A64))</x:f>
        <x:v>728</x:v>
      </x:c>
      <x:c r="E64" s="20" t="n">
        <x:f>IF($A64="","",SUMIFS('Repeat Detail'!$L$6:$L$1005,'Repeat Detail'!$A$6:$A$1005,"Daily",'Repeat Detail'!$B$6:$B$1005,$A64))</x:f>
        <x:v>83</x:v>
      </x:c>
      <x:c r="F64" s="22" t="n">
        <x:f>IF(A64="","",IF(D64=0,"n.a.",E64/D64))</x:f>
        <x:v>0.11401098901098901</x:v>
      </x:c>
      <x:c r="G64" s="20" t="n">
        <x:f>IF($A64="","",SUMIFS('Repeat Detail'!$M$6:$M$1005,'Repeat Detail'!$A$6:$A$1005,"Daily",'Repeat Detail'!$B$6:$B$1005,$A64))</x:f>
        <x:v>109</x:v>
      </x:c>
      <x:c r="H64" s="22" t="n">
        <x:f>IF(A64="","",IF(C64=0,"n.a.",G64/C64))</x:f>
        <x:v>0.13022700119474312</x:v>
      </x:c>
      <x:c r="I64" s="20" t="n">
        <x:f>IF($A64="","",SUMIFS('Repeat Detail'!$N$6:$N$1005,'Repeat Detail'!$A$6:$A$1005,"Daily",'Repeat Detail'!$B$6:$B$1005,$A64))</x:f>
        <x:v>192</x:v>
      </x:c>
      <x:c r="J64" s="20" t="n">
        <x:f>IF(A64="","",B64-C64)</x:f>
        <x:v>101</x:v>
      </x:c>
    </x:row>
    <x:row r="65">
      <x:c r="A65" s="12" t="n">
        <x:f>IF(A64="","",IF(A64+1&gt;IF(AND(COUNTIF('Repeat Detail'!$A$6:$A$1005,"Quality")=21,COUNTIF('Repeat Detail'!$A$6:$A$1005,"Menu")=12,COUNTIF('Repeat Detail'!$A$6:$A$1005,"Daily")=SUMIFS('Repeat Detail'!$O$6:$O$1005,'Repeat Detail'!$A$6:$A$1005,"Quality",'Repeat Detail'!$H$6:$H$1005,"Date span")),SUMIFS('Repeat Detail'!$O$6:$O$1005,'Repeat Detail'!$A$6:$A$1005,"Quality",'Repeat Detail'!$H$6:$H$1005,"Last date"),NA()),"",A64+1))</x:f>
        <x:v>46279</x:v>
      </x:c>
      <x:c r="B65" s="20" t="n">
        <x:f>IF($A65="","",SUMIFS('Repeat Detail'!$I$6:$I$1005,'Repeat Detail'!$A$6:$A$1005,"Daily",'Repeat Detail'!$B$6:$B$1005,$A65))</x:f>
        <x:v>7334</x:v>
      </x:c>
      <x:c r="C65" s="20" t="n">
        <x:f>IF($A65="","",SUMIFS('Repeat Detail'!$J$6:$J$1005,'Repeat Detail'!$A$6:$A$1005,"Daily",'Repeat Detail'!$B$6:$B$1005,$A65))</x:f>
        <x:v>6472</x:v>
      </x:c>
      <x:c r="D65" s="20" t="n">
        <x:f>IF($A65="","",SUMIFS('Repeat Detail'!$K$6:$K$1005,'Repeat Detail'!$A$6:$A$1005,"Daily",'Repeat Detail'!$B$6:$B$1005,$A65))</x:f>
        <x:v>5241</x:v>
      </x:c>
      <x:c r="E65" s="20" t="n">
        <x:f>IF($A65="","",SUMIFS('Repeat Detail'!$L$6:$L$1005,'Repeat Detail'!$A$6:$A$1005,"Daily",'Repeat Detail'!$B$6:$B$1005,$A65))</x:f>
        <x:v>886</x:v>
      </x:c>
      <x:c r="F65" s="22" t="n">
        <x:f>IF(A65="","",IF(D65=0,"n.a.",E65/D65))</x:f>
        <x:v>0.16905170768937225</x:v>
      </x:c>
      <x:c r="G65" s="20" t="n">
        <x:f>IF($A65="","",SUMIFS('Repeat Detail'!$M$6:$M$1005,'Repeat Detail'!$A$6:$A$1005,"Daily",'Repeat Detail'!$B$6:$B$1005,$A65))</x:f>
        <x:v>1231</x:v>
      </x:c>
      <x:c r="H65" s="22" t="n">
        <x:f>IF(A65="","",IF(C65=0,"n.a.",G65/C65))</x:f>
        <x:v>0.19020395550061805</x:v>
      </x:c>
      <x:c r="I65" s="20" t="n">
        <x:f>IF($A65="","",SUMIFS('Repeat Detail'!$N$6:$N$1005,'Repeat Detail'!$A$6:$A$1005,"Daily",'Repeat Detail'!$B$6:$B$1005,$A65))</x:f>
        <x:v>2117</x:v>
      </x:c>
      <x:c r="J65" s="20" t="n">
        <x:f>IF(A65="","",B65-C65)</x:f>
        <x:v>862</x:v>
      </x:c>
    </x:row>
    <x:row r="66">
      <x:c r="A66" s="12" t="n">
        <x:f>IF(A65="","",IF(A65+1&gt;IF(AND(COUNTIF('Repeat Detail'!$A$6:$A$1005,"Quality")=21,COUNTIF('Repeat Detail'!$A$6:$A$1005,"Menu")=12,COUNTIF('Repeat Detail'!$A$6:$A$1005,"Daily")=SUMIFS('Repeat Detail'!$O$6:$O$1005,'Repeat Detail'!$A$6:$A$1005,"Quality",'Repeat Detail'!$H$6:$H$1005,"Date span")),SUMIFS('Repeat Detail'!$O$6:$O$1005,'Repeat Detail'!$A$6:$A$1005,"Quality",'Repeat Detail'!$H$6:$H$1005,"Last date"),NA()),"",A65+1))</x:f>
        <x:v>46280</x:v>
      </x:c>
      <x:c r="B66" s="20" t="n">
        <x:f>IF($A66="","",SUMIFS('Repeat Detail'!$I$6:$I$1005,'Repeat Detail'!$A$6:$A$1005,"Daily",'Repeat Detail'!$B$6:$B$1005,$A66))</x:f>
        <x:v>8115</x:v>
      </x:c>
      <x:c r="C66" s="20" t="n">
        <x:f>IF($A66="","",SUMIFS('Repeat Detail'!$J$6:$J$1005,'Repeat Detail'!$A$6:$A$1005,"Daily",'Repeat Detail'!$B$6:$B$1005,$A66))</x:f>
        <x:v>7162</x:v>
      </x:c>
      <x:c r="D66" s="20" t="n">
        <x:f>IF($A66="","",SUMIFS('Repeat Detail'!$K$6:$K$1005,'Repeat Detail'!$A$6:$A$1005,"Daily",'Repeat Detail'!$B$6:$B$1005,$A66))</x:f>
        <x:v>5728</x:v>
      </x:c>
      <x:c r="E66" s="20" t="n">
        <x:f>IF($A66="","",SUMIFS('Repeat Detail'!$L$6:$L$1005,'Repeat Detail'!$A$6:$A$1005,"Daily",'Repeat Detail'!$B$6:$B$1005,$A66))</x:f>
        <x:v>1042</x:v>
      </x:c>
      <x:c r="F66" s="22" t="n">
        <x:f>IF(A66="","",IF(D66=0,"n.a.",E66/D66))</x:f>
        <x:v>0.18191340782122906</x:v>
      </x:c>
      <x:c r="G66" s="20" t="n">
        <x:f>IF($A66="","",SUMIFS('Repeat Detail'!$M$6:$M$1005,'Repeat Detail'!$A$6:$A$1005,"Daily",'Repeat Detail'!$B$6:$B$1005,$A66))</x:f>
        <x:v>1434</x:v>
      </x:c>
      <x:c r="H66" s="22" t="n">
        <x:f>IF(A66="","",IF(C66=0,"n.a.",G66/C66))</x:f>
        <x:v>0.20022340128455737</x:v>
      </x:c>
      <x:c r="I66" s="20" t="n">
        <x:f>IF($A66="","",SUMIFS('Repeat Detail'!$N$6:$N$1005,'Repeat Detail'!$A$6:$A$1005,"Daily",'Repeat Detail'!$B$6:$B$1005,$A66))</x:f>
        <x:v>2476</x:v>
      </x:c>
      <x:c r="J66" s="20" t="n">
        <x:f>IF(A66="","",B66-C66)</x:f>
        <x:v>953</x:v>
      </x:c>
    </x:row>
    <x:row r="67">
      <x:c r="A67" s="12" t="str">
        <x:f>IF(A66="","",IF(A66+1&gt;IF(AND(COUNTIF('Repeat Detail'!$A$6:$A$1005,"Quality")=21,COUNTIF('Repeat Detail'!$A$6:$A$1005,"Menu")=12,COUNTIF('Repeat Detail'!$A$6:$A$1005,"Daily")=SUMIFS('Repeat Detail'!$O$6:$O$1005,'Repeat Detail'!$A$6:$A$1005,"Quality",'Repeat Detail'!$H$6:$H$1005,"Date span")),SUMIFS('Repeat Detail'!$O$6:$O$1005,'Repeat Detail'!$A$6:$A$1005,"Quality",'Repeat Detail'!$H$6:$H$1005,"Last date"),NA()),"",A66+1))</x:f>
      </x:c>
      <x:c r="B67" s="20" t="str">
        <x:f>IF($A67="","",SUMIFS('Repeat Detail'!$I$6:$I$1005,'Repeat Detail'!$A$6:$A$1005,"Daily",'Repeat Detail'!$B$6:$B$1005,$A67))</x:f>
      </x:c>
      <x:c r="C67" s="20" t="str">
        <x:f>IF($A67="","",SUMIFS('Repeat Detail'!$J$6:$J$1005,'Repeat Detail'!$A$6:$A$1005,"Daily",'Repeat Detail'!$B$6:$B$1005,$A67))</x:f>
      </x:c>
      <x:c r="D67" s="20" t="str">
        <x:f>IF($A67="","",SUMIFS('Repeat Detail'!$K$6:$K$1005,'Repeat Detail'!$A$6:$A$1005,"Daily",'Repeat Detail'!$B$6:$B$1005,$A67))</x:f>
      </x:c>
      <x:c r="E67" s="20" t="str">
        <x:f>IF($A67="","",SUMIFS('Repeat Detail'!$L$6:$L$1005,'Repeat Detail'!$A$6:$A$1005,"Daily",'Repeat Detail'!$B$6:$B$1005,$A67))</x:f>
      </x:c>
      <x:c r="F67" s="22" t="str">
        <x:f>IF(A67="","",IF(D67=0,"n.a.",E67/D67))</x:f>
      </x:c>
      <x:c r="G67" s="20" t="str">
        <x:f>IF($A67="","",SUMIFS('Repeat Detail'!$M$6:$M$1005,'Repeat Detail'!$A$6:$A$1005,"Daily",'Repeat Detail'!$B$6:$B$1005,$A67))</x:f>
      </x:c>
      <x:c r="H67" s="22" t="str">
        <x:f>IF(A67="","",IF(C67=0,"n.a.",G67/C67))</x:f>
      </x:c>
      <x:c r="I67" s="20" t="str">
        <x:f>IF($A67="","",SUMIFS('Repeat Detail'!$N$6:$N$1005,'Repeat Detail'!$A$6:$A$1005,"Daily",'Repeat Detail'!$B$6:$B$1005,$A67))</x:f>
      </x:c>
      <x:c r="J67" s="20" t="str">
        <x:f>IF(A67="","",B67-C67)</x:f>
      </x:c>
    </x:row>
    <x:row r="68">
      <x:c r="A68" s="12" t="str">
        <x:f>IF(A67="","",IF(A67+1&gt;IF(AND(COUNTIF('Repeat Detail'!$A$6:$A$1005,"Quality")=21,COUNTIF('Repeat Detail'!$A$6:$A$1005,"Menu")=12,COUNTIF('Repeat Detail'!$A$6:$A$1005,"Daily")=SUMIFS('Repeat Detail'!$O$6:$O$1005,'Repeat Detail'!$A$6:$A$1005,"Quality",'Repeat Detail'!$H$6:$H$1005,"Date span")),SUMIFS('Repeat Detail'!$O$6:$O$1005,'Repeat Detail'!$A$6:$A$1005,"Quality",'Repeat Detail'!$H$6:$H$1005,"Last date"),NA()),"",A67+1))</x:f>
      </x:c>
      <x:c r="B68" s="20" t="str">
        <x:f>IF($A68="","",SUMIFS('Repeat Detail'!$I$6:$I$1005,'Repeat Detail'!$A$6:$A$1005,"Daily",'Repeat Detail'!$B$6:$B$1005,$A68))</x:f>
      </x:c>
      <x:c r="C68" s="20" t="str">
        <x:f>IF($A68="","",SUMIFS('Repeat Detail'!$J$6:$J$1005,'Repeat Detail'!$A$6:$A$1005,"Daily",'Repeat Detail'!$B$6:$B$1005,$A68))</x:f>
      </x:c>
      <x:c r="D68" s="20" t="str">
        <x:f>IF($A68="","",SUMIFS('Repeat Detail'!$K$6:$K$1005,'Repeat Detail'!$A$6:$A$1005,"Daily",'Repeat Detail'!$B$6:$B$1005,$A68))</x:f>
      </x:c>
      <x:c r="E68" s="20" t="str">
        <x:f>IF($A68="","",SUMIFS('Repeat Detail'!$L$6:$L$1005,'Repeat Detail'!$A$6:$A$1005,"Daily",'Repeat Detail'!$B$6:$B$1005,$A68))</x:f>
      </x:c>
      <x:c r="F68" s="22" t="str">
        <x:f>IF(A68="","",IF(D68=0,"n.a.",E68/D68))</x:f>
      </x:c>
      <x:c r="G68" s="20" t="str">
        <x:f>IF($A68="","",SUMIFS('Repeat Detail'!$M$6:$M$1005,'Repeat Detail'!$A$6:$A$1005,"Daily",'Repeat Detail'!$B$6:$B$1005,$A68))</x:f>
      </x:c>
      <x:c r="H68" s="22" t="str">
        <x:f>IF(A68="","",IF(C68=0,"n.a.",G68/C68))</x:f>
      </x:c>
      <x:c r="I68" s="20" t="str">
        <x:f>IF($A68="","",SUMIFS('Repeat Detail'!$N$6:$N$1005,'Repeat Detail'!$A$6:$A$1005,"Daily",'Repeat Detail'!$B$6:$B$1005,$A68))</x:f>
      </x:c>
      <x:c r="J68" s="20" t="str">
        <x:f>IF(A68="","",B68-C68)</x:f>
      </x:c>
    </x:row>
    <x:row r="69">
      <x:c r="A69" s="12" t="str">
        <x:f>IF(A68="","",IF(A68+1&gt;IF(AND(COUNTIF('Repeat Detail'!$A$6:$A$1005,"Quality")=21,COUNTIF('Repeat Detail'!$A$6:$A$1005,"Menu")=12,COUNTIF('Repeat Detail'!$A$6:$A$1005,"Daily")=SUMIFS('Repeat Detail'!$O$6:$O$1005,'Repeat Detail'!$A$6:$A$1005,"Quality",'Repeat Detail'!$H$6:$H$1005,"Date span")),SUMIFS('Repeat Detail'!$O$6:$O$1005,'Repeat Detail'!$A$6:$A$1005,"Quality",'Repeat Detail'!$H$6:$H$1005,"Last date"),NA()),"",A68+1))</x:f>
      </x:c>
      <x:c r="B69" s="20" t="str">
        <x:f>IF($A69="","",SUMIFS('Repeat Detail'!$I$6:$I$1005,'Repeat Detail'!$A$6:$A$1005,"Daily",'Repeat Detail'!$B$6:$B$1005,$A69))</x:f>
      </x:c>
      <x:c r="C69" s="20" t="str">
        <x:f>IF($A69="","",SUMIFS('Repeat Detail'!$J$6:$J$1005,'Repeat Detail'!$A$6:$A$1005,"Daily",'Repeat Detail'!$B$6:$B$1005,$A69))</x:f>
      </x:c>
      <x:c r="D69" s="20" t="str">
        <x:f>IF($A69="","",SUMIFS('Repeat Detail'!$K$6:$K$1005,'Repeat Detail'!$A$6:$A$1005,"Daily",'Repeat Detail'!$B$6:$B$1005,$A69))</x:f>
      </x:c>
      <x:c r="E69" s="20" t="str">
        <x:f>IF($A69="","",SUMIFS('Repeat Detail'!$L$6:$L$1005,'Repeat Detail'!$A$6:$A$1005,"Daily",'Repeat Detail'!$B$6:$B$1005,$A69))</x:f>
      </x:c>
      <x:c r="F69" s="22" t="str">
        <x:f>IF(A69="","",IF(D69=0,"n.a.",E69/D69))</x:f>
      </x:c>
      <x:c r="G69" s="20" t="str">
        <x:f>IF($A69="","",SUMIFS('Repeat Detail'!$M$6:$M$1005,'Repeat Detail'!$A$6:$A$1005,"Daily",'Repeat Detail'!$B$6:$B$1005,$A69))</x:f>
      </x:c>
      <x:c r="H69" s="22" t="str">
        <x:f>IF(A69="","",IF(C69=0,"n.a.",G69/C69))</x:f>
      </x:c>
      <x:c r="I69" s="20" t="str">
        <x:f>IF($A69="","",SUMIFS('Repeat Detail'!$N$6:$N$1005,'Repeat Detail'!$A$6:$A$1005,"Daily",'Repeat Detail'!$B$6:$B$1005,$A69))</x:f>
      </x:c>
      <x:c r="J69" s="20" t="str">
        <x:f>IF(A69="","",B69-C69)</x:f>
      </x:c>
    </x:row>
    <x:row r="70">
      <x:c r="A70" s="12" t="str">
        <x:f>IF(A69="","",IF(A69+1&gt;IF(AND(COUNTIF('Repeat Detail'!$A$6:$A$1005,"Quality")=21,COUNTIF('Repeat Detail'!$A$6:$A$1005,"Menu")=12,COUNTIF('Repeat Detail'!$A$6:$A$1005,"Daily")=SUMIFS('Repeat Detail'!$O$6:$O$1005,'Repeat Detail'!$A$6:$A$1005,"Quality",'Repeat Detail'!$H$6:$H$1005,"Date span")),SUMIFS('Repeat Detail'!$O$6:$O$1005,'Repeat Detail'!$A$6:$A$1005,"Quality",'Repeat Detail'!$H$6:$H$1005,"Last date"),NA()),"",A69+1))</x:f>
      </x:c>
      <x:c r="B70" s="20" t="str">
        <x:f>IF($A70="","",SUMIFS('Repeat Detail'!$I$6:$I$1005,'Repeat Detail'!$A$6:$A$1005,"Daily",'Repeat Detail'!$B$6:$B$1005,$A70))</x:f>
      </x:c>
      <x:c r="C70" s="20" t="str">
        <x:f>IF($A70="","",SUMIFS('Repeat Detail'!$J$6:$J$1005,'Repeat Detail'!$A$6:$A$1005,"Daily",'Repeat Detail'!$B$6:$B$1005,$A70))</x:f>
      </x:c>
      <x:c r="D70" s="20" t="str">
        <x:f>IF($A70="","",SUMIFS('Repeat Detail'!$K$6:$K$1005,'Repeat Detail'!$A$6:$A$1005,"Daily",'Repeat Detail'!$B$6:$B$1005,$A70))</x:f>
      </x:c>
      <x:c r="E70" s="20" t="str">
        <x:f>IF($A70="","",SUMIFS('Repeat Detail'!$L$6:$L$1005,'Repeat Detail'!$A$6:$A$1005,"Daily",'Repeat Detail'!$B$6:$B$1005,$A70))</x:f>
      </x:c>
      <x:c r="F70" s="22" t="str">
        <x:f>IF(A70="","",IF(D70=0,"n.a.",E70/D70))</x:f>
      </x:c>
      <x:c r="G70" s="20" t="str">
        <x:f>IF($A70="","",SUMIFS('Repeat Detail'!$M$6:$M$1005,'Repeat Detail'!$A$6:$A$1005,"Daily",'Repeat Detail'!$B$6:$B$1005,$A70))</x:f>
      </x:c>
      <x:c r="H70" s="22" t="str">
        <x:f>IF(A70="","",IF(C70=0,"n.a.",G70/C70))</x:f>
      </x:c>
      <x:c r="I70" s="20" t="str">
        <x:f>IF($A70="","",SUMIFS('Repeat Detail'!$N$6:$N$1005,'Repeat Detail'!$A$6:$A$1005,"Daily",'Repeat Detail'!$B$6:$B$1005,$A70))</x:f>
      </x:c>
      <x:c r="J70" s="20" t="str">
        <x:f>IF(A70="","",B70-C70)</x:f>
      </x:c>
    </x:row>
    <x:row r="71">
      <x:c r="A71" s="12" t="str">
        <x:f>IF(A70="","",IF(A70+1&gt;IF(AND(COUNTIF('Repeat Detail'!$A$6:$A$1005,"Quality")=21,COUNTIF('Repeat Detail'!$A$6:$A$1005,"Menu")=12,COUNTIF('Repeat Detail'!$A$6:$A$1005,"Daily")=SUMIFS('Repeat Detail'!$O$6:$O$1005,'Repeat Detail'!$A$6:$A$1005,"Quality",'Repeat Detail'!$H$6:$H$1005,"Date span")),SUMIFS('Repeat Detail'!$O$6:$O$1005,'Repeat Detail'!$A$6:$A$1005,"Quality",'Repeat Detail'!$H$6:$H$1005,"Last date"),NA()),"",A70+1))</x:f>
      </x:c>
      <x:c r="B71" s="20" t="str">
        <x:f>IF($A71="","",SUMIFS('Repeat Detail'!$I$6:$I$1005,'Repeat Detail'!$A$6:$A$1005,"Daily",'Repeat Detail'!$B$6:$B$1005,$A71))</x:f>
      </x:c>
      <x:c r="C71" s="20" t="str">
        <x:f>IF($A71="","",SUMIFS('Repeat Detail'!$J$6:$J$1005,'Repeat Detail'!$A$6:$A$1005,"Daily",'Repeat Detail'!$B$6:$B$1005,$A71))</x:f>
      </x:c>
      <x:c r="D71" s="20" t="str">
        <x:f>IF($A71="","",SUMIFS('Repeat Detail'!$K$6:$K$1005,'Repeat Detail'!$A$6:$A$1005,"Daily",'Repeat Detail'!$B$6:$B$1005,$A71))</x:f>
      </x:c>
      <x:c r="E71" s="20" t="str">
        <x:f>IF($A71="","",SUMIFS('Repeat Detail'!$L$6:$L$1005,'Repeat Detail'!$A$6:$A$1005,"Daily",'Repeat Detail'!$B$6:$B$1005,$A71))</x:f>
      </x:c>
      <x:c r="F71" s="22" t="str">
        <x:f>IF(A71="","",IF(D71=0,"n.a.",E71/D71))</x:f>
      </x:c>
      <x:c r="G71" s="20" t="str">
        <x:f>IF($A71="","",SUMIFS('Repeat Detail'!$M$6:$M$1005,'Repeat Detail'!$A$6:$A$1005,"Daily",'Repeat Detail'!$B$6:$B$1005,$A71))</x:f>
      </x:c>
      <x:c r="H71" s="22" t="str">
        <x:f>IF(A71="","",IF(C71=0,"n.a.",G71/C71))</x:f>
      </x:c>
      <x:c r="I71" s="20" t="str">
        <x:f>IF($A71="","",SUMIFS('Repeat Detail'!$N$6:$N$1005,'Repeat Detail'!$A$6:$A$1005,"Daily",'Repeat Detail'!$B$6:$B$1005,$A71))</x:f>
      </x:c>
      <x:c r="J71" s="20" t="str">
        <x:f>IF(A71="","",B71-C71)</x:f>
      </x:c>
    </x:row>
    <x:row r="72">
      <x:c r="A72" s="12" t="str">
        <x:f>IF(A71="","",IF(A71+1&gt;IF(AND(COUNTIF('Repeat Detail'!$A$6:$A$1005,"Quality")=21,COUNTIF('Repeat Detail'!$A$6:$A$1005,"Menu")=12,COUNTIF('Repeat Detail'!$A$6:$A$1005,"Daily")=SUMIFS('Repeat Detail'!$O$6:$O$1005,'Repeat Detail'!$A$6:$A$1005,"Quality",'Repeat Detail'!$H$6:$H$1005,"Date span")),SUMIFS('Repeat Detail'!$O$6:$O$1005,'Repeat Detail'!$A$6:$A$1005,"Quality",'Repeat Detail'!$H$6:$H$1005,"Last date"),NA()),"",A71+1))</x:f>
      </x:c>
      <x:c r="B72" s="20" t="str">
        <x:f>IF($A72="","",SUMIFS('Repeat Detail'!$I$6:$I$1005,'Repeat Detail'!$A$6:$A$1005,"Daily",'Repeat Detail'!$B$6:$B$1005,$A72))</x:f>
      </x:c>
      <x:c r="C72" s="20" t="str">
        <x:f>IF($A72="","",SUMIFS('Repeat Detail'!$J$6:$J$1005,'Repeat Detail'!$A$6:$A$1005,"Daily",'Repeat Detail'!$B$6:$B$1005,$A72))</x:f>
      </x:c>
      <x:c r="D72" s="20" t="str">
        <x:f>IF($A72="","",SUMIFS('Repeat Detail'!$K$6:$K$1005,'Repeat Detail'!$A$6:$A$1005,"Daily",'Repeat Detail'!$B$6:$B$1005,$A72))</x:f>
      </x:c>
      <x:c r="E72" s="20" t="str">
        <x:f>IF($A72="","",SUMIFS('Repeat Detail'!$L$6:$L$1005,'Repeat Detail'!$A$6:$A$1005,"Daily",'Repeat Detail'!$B$6:$B$1005,$A72))</x:f>
      </x:c>
      <x:c r="F72" s="22" t="str">
        <x:f>IF(A72="","",IF(D72=0,"n.a.",E72/D72))</x:f>
      </x:c>
      <x:c r="G72" s="20" t="str">
        <x:f>IF($A72="","",SUMIFS('Repeat Detail'!$M$6:$M$1005,'Repeat Detail'!$A$6:$A$1005,"Daily",'Repeat Detail'!$B$6:$B$1005,$A72))</x:f>
      </x:c>
      <x:c r="H72" s="22" t="str">
        <x:f>IF(A72="","",IF(C72=0,"n.a.",G72/C72))</x:f>
      </x:c>
      <x:c r="I72" s="20" t="str">
        <x:f>IF($A72="","",SUMIFS('Repeat Detail'!$N$6:$N$1005,'Repeat Detail'!$A$6:$A$1005,"Daily",'Repeat Detail'!$B$6:$B$1005,$A72))</x:f>
      </x:c>
      <x:c r="J72" s="20" t="str">
        <x:f>IF(A72="","",B72-C72)</x:f>
      </x:c>
    </x:row>
    <x:row r="73">
      <x:c r="A73" s="12" t="str">
        <x:f>IF(A72="","",IF(A72+1&gt;IF(AND(COUNTIF('Repeat Detail'!$A$6:$A$1005,"Quality")=21,COUNTIF('Repeat Detail'!$A$6:$A$1005,"Menu")=12,COUNTIF('Repeat Detail'!$A$6:$A$1005,"Daily")=SUMIFS('Repeat Detail'!$O$6:$O$1005,'Repeat Detail'!$A$6:$A$1005,"Quality",'Repeat Detail'!$H$6:$H$1005,"Date span")),SUMIFS('Repeat Detail'!$O$6:$O$1005,'Repeat Detail'!$A$6:$A$1005,"Quality",'Repeat Detail'!$H$6:$H$1005,"Last date"),NA()),"",A72+1))</x:f>
      </x:c>
      <x:c r="B73" s="20" t="str">
        <x:f>IF($A73="","",SUMIFS('Repeat Detail'!$I$6:$I$1005,'Repeat Detail'!$A$6:$A$1005,"Daily",'Repeat Detail'!$B$6:$B$1005,$A73))</x:f>
      </x:c>
      <x:c r="C73" s="20" t="str">
        <x:f>IF($A73="","",SUMIFS('Repeat Detail'!$J$6:$J$1005,'Repeat Detail'!$A$6:$A$1005,"Daily",'Repeat Detail'!$B$6:$B$1005,$A73))</x:f>
      </x:c>
      <x:c r="D73" s="20" t="str">
        <x:f>IF($A73="","",SUMIFS('Repeat Detail'!$K$6:$K$1005,'Repeat Detail'!$A$6:$A$1005,"Daily",'Repeat Detail'!$B$6:$B$1005,$A73))</x:f>
      </x:c>
      <x:c r="E73" s="20" t="str">
        <x:f>IF($A73="","",SUMIFS('Repeat Detail'!$L$6:$L$1005,'Repeat Detail'!$A$6:$A$1005,"Daily",'Repeat Detail'!$B$6:$B$1005,$A73))</x:f>
      </x:c>
      <x:c r="F73" s="22" t="str">
        <x:f>IF(A73="","",IF(D73=0,"n.a.",E73/D73))</x:f>
      </x:c>
      <x:c r="G73" s="20" t="str">
        <x:f>IF($A73="","",SUMIFS('Repeat Detail'!$M$6:$M$1005,'Repeat Detail'!$A$6:$A$1005,"Daily",'Repeat Detail'!$B$6:$B$1005,$A73))</x:f>
      </x:c>
      <x:c r="H73" s="22" t="str">
        <x:f>IF(A73="","",IF(C73=0,"n.a.",G73/C73))</x:f>
      </x:c>
      <x:c r="I73" s="20" t="str">
        <x:f>IF($A73="","",SUMIFS('Repeat Detail'!$N$6:$N$1005,'Repeat Detail'!$A$6:$A$1005,"Daily",'Repeat Detail'!$B$6:$B$1005,$A73))</x:f>
      </x:c>
      <x:c r="J73" s="20" t="str">
        <x:f>IF(A73="","",B73-C73)</x:f>
      </x:c>
    </x:row>
    <x:row r="74">
      <x:c r="A74" s="12" t="str">
        <x:f>IF(A73="","",IF(A73+1&gt;IF(AND(COUNTIF('Repeat Detail'!$A$6:$A$1005,"Quality")=21,COUNTIF('Repeat Detail'!$A$6:$A$1005,"Menu")=12,COUNTIF('Repeat Detail'!$A$6:$A$1005,"Daily")=SUMIFS('Repeat Detail'!$O$6:$O$1005,'Repeat Detail'!$A$6:$A$1005,"Quality",'Repeat Detail'!$H$6:$H$1005,"Date span")),SUMIFS('Repeat Detail'!$O$6:$O$1005,'Repeat Detail'!$A$6:$A$1005,"Quality",'Repeat Detail'!$H$6:$H$1005,"Last date"),NA()),"",A73+1))</x:f>
      </x:c>
      <x:c r="B74" s="20" t="str">
        <x:f>IF($A74="","",SUMIFS('Repeat Detail'!$I$6:$I$1005,'Repeat Detail'!$A$6:$A$1005,"Daily",'Repeat Detail'!$B$6:$B$1005,$A74))</x:f>
      </x:c>
      <x:c r="C74" s="20" t="str">
        <x:f>IF($A74="","",SUMIFS('Repeat Detail'!$J$6:$J$1005,'Repeat Detail'!$A$6:$A$1005,"Daily",'Repeat Detail'!$B$6:$B$1005,$A74))</x:f>
      </x:c>
      <x:c r="D74" s="20" t="str">
        <x:f>IF($A74="","",SUMIFS('Repeat Detail'!$K$6:$K$1005,'Repeat Detail'!$A$6:$A$1005,"Daily",'Repeat Detail'!$B$6:$B$1005,$A74))</x:f>
      </x:c>
      <x:c r="E74" s="20" t="str">
        <x:f>IF($A74="","",SUMIFS('Repeat Detail'!$L$6:$L$1005,'Repeat Detail'!$A$6:$A$1005,"Daily",'Repeat Detail'!$B$6:$B$1005,$A74))</x:f>
      </x:c>
      <x:c r="F74" s="22" t="str">
        <x:f>IF(A74="","",IF(D74=0,"n.a.",E74/D74))</x:f>
      </x:c>
      <x:c r="G74" s="20" t="str">
        <x:f>IF($A74="","",SUMIFS('Repeat Detail'!$M$6:$M$1005,'Repeat Detail'!$A$6:$A$1005,"Daily",'Repeat Detail'!$B$6:$B$1005,$A74))</x:f>
      </x:c>
      <x:c r="H74" s="22" t="str">
        <x:f>IF(A74="","",IF(C74=0,"n.a.",G74/C74))</x:f>
      </x:c>
      <x:c r="I74" s="20" t="str">
        <x:f>IF($A74="","",SUMIFS('Repeat Detail'!$N$6:$N$1005,'Repeat Detail'!$A$6:$A$1005,"Daily",'Repeat Detail'!$B$6:$B$1005,$A74))</x:f>
      </x:c>
      <x:c r="J74" s="20" t="str">
        <x:f>IF(A74="","",B74-C74)</x:f>
      </x:c>
    </x:row>
    <x:row r="75">
      <x:c r="A75" s="12" t="str">
        <x:f>IF(A74="","",IF(A74+1&gt;IF(AND(COUNTIF('Repeat Detail'!$A$6:$A$1005,"Quality")=21,COUNTIF('Repeat Detail'!$A$6:$A$1005,"Menu")=12,COUNTIF('Repeat Detail'!$A$6:$A$1005,"Daily")=SUMIFS('Repeat Detail'!$O$6:$O$1005,'Repeat Detail'!$A$6:$A$1005,"Quality",'Repeat Detail'!$H$6:$H$1005,"Date span")),SUMIFS('Repeat Detail'!$O$6:$O$1005,'Repeat Detail'!$A$6:$A$1005,"Quality",'Repeat Detail'!$H$6:$H$1005,"Last date"),NA()),"",A74+1))</x:f>
      </x:c>
      <x:c r="B75" s="20" t="str">
        <x:f>IF($A75="","",SUMIFS('Repeat Detail'!$I$6:$I$1005,'Repeat Detail'!$A$6:$A$1005,"Daily",'Repeat Detail'!$B$6:$B$1005,$A75))</x:f>
      </x:c>
      <x:c r="C75" s="20" t="str">
        <x:f>IF($A75="","",SUMIFS('Repeat Detail'!$J$6:$J$1005,'Repeat Detail'!$A$6:$A$1005,"Daily",'Repeat Detail'!$B$6:$B$1005,$A75))</x:f>
      </x:c>
      <x:c r="D75" s="20" t="str">
        <x:f>IF($A75="","",SUMIFS('Repeat Detail'!$K$6:$K$1005,'Repeat Detail'!$A$6:$A$1005,"Daily",'Repeat Detail'!$B$6:$B$1005,$A75))</x:f>
      </x:c>
      <x:c r="E75" s="20" t="str">
        <x:f>IF($A75="","",SUMIFS('Repeat Detail'!$L$6:$L$1005,'Repeat Detail'!$A$6:$A$1005,"Daily",'Repeat Detail'!$B$6:$B$1005,$A75))</x:f>
      </x:c>
      <x:c r="F75" s="22" t="str">
        <x:f>IF(A75="","",IF(D75=0,"n.a.",E75/D75))</x:f>
      </x:c>
      <x:c r="G75" s="20" t="str">
        <x:f>IF($A75="","",SUMIFS('Repeat Detail'!$M$6:$M$1005,'Repeat Detail'!$A$6:$A$1005,"Daily",'Repeat Detail'!$B$6:$B$1005,$A75))</x:f>
      </x:c>
      <x:c r="H75" s="22" t="str">
        <x:f>IF(A75="","",IF(C75=0,"n.a.",G75/C75))</x:f>
      </x:c>
      <x:c r="I75" s="20" t="str">
        <x:f>IF($A75="","",SUMIFS('Repeat Detail'!$N$6:$N$1005,'Repeat Detail'!$A$6:$A$1005,"Daily",'Repeat Detail'!$B$6:$B$1005,$A75))</x:f>
      </x:c>
      <x:c r="J75" s="20" t="str">
        <x:f>IF(A75="","",B75-C75)</x:f>
      </x:c>
    </x:row>
    <x:row r="76">
      <x:c r="A76" s="12" t="str">
        <x:f>IF(A75="","",IF(A75+1&gt;IF(AND(COUNTIF('Repeat Detail'!$A$6:$A$1005,"Quality")=21,COUNTIF('Repeat Detail'!$A$6:$A$1005,"Menu")=12,COUNTIF('Repeat Detail'!$A$6:$A$1005,"Daily")=SUMIFS('Repeat Detail'!$O$6:$O$1005,'Repeat Detail'!$A$6:$A$1005,"Quality",'Repeat Detail'!$H$6:$H$1005,"Date span")),SUMIFS('Repeat Detail'!$O$6:$O$1005,'Repeat Detail'!$A$6:$A$1005,"Quality",'Repeat Detail'!$H$6:$H$1005,"Last date"),NA()),"",A75+1))</x:f>
      </x:c>
      <x:c r="B76" s="20" t="str">
        <x:f>IF($A76="","",SUMIFS('Repeat Detail'!$I$6:$I$1005,'Repeat Detail'!$A$6:$A$1005,"Daily",'Repeat Detail'!$B$6:$B$1005,$A76))</x:f>
      </x:c>
      <x:c r="C76" s="20" t="str">
        <x:f>IF($A76="","",SUMIFS('Repeat Detail'!$J$6:$J$1005,'Repeat Detail'!$A$6:$A$1005,"Daily",'Repeat Detail'!$B$6:$B$1005,$A76))</x:f>
      </x:c>
      <x:c r="D76" s="20" t="str">
        <x:f>IF($A76="","",SUMIFS('Repeat Detail'!$K$6:$K$1005,'Repeat Detail'!$A$6:$A$1005,"Daily",'Repeat Detail'!$B$6:$B$1005,$A76))</x:f>
      </x:c>
      <x:c r="E76" s="20" t="str">
        <x:f>IF($A76="","",SUMIFS('Repeat Detail'!$L$6:$L$1005,'Repeat Detail'!$A$6:$A$1005,"Daily",'Repeat Detail'!$B$6:$B$1005,$A76))</x:f>
      </x:c>
      <x:c r="F76" s="22" t="str">
        <x:f>IF(A76="","",IF(D76=0,"n.a.",E76/D76))</x:f>
      </x:c>
      <x:c r="G76" s="20" t="str">
        <x:f>IF($A76="","",SUMIFS('Repeat Detail'!$M$6:$M$1005,'Repeat Detail'!$A$6:$A$1005,"Daily",'Repeat Detail'!$B$6:$B$1005,$A76))</x:f>
      </x:c>
      <x:c r="H76" s="22" t="str">
        <x:f>IF(A76="","",IF(C76=0,"n.a.",G76/C76))</x:f>
      </x:c>
      <x:c r="I76" s="20" t="str">
        <x:f>IF($A76="","",SUMIFS('Repeat Detail'!$N$6:$N$1005,'Repeat Detail'!$A$6:$A$1005,"Daily",'Repeat Detail'!$B$6:$B$1005,$A76))</x:f>
      </x:c>
      <x:c r="J76" s="20" t="str">
        <x:f>IF(A76="","",B76-C76)</x:f>
      </x:c>
    </x:row>
    <x:row r="77">
      <x:c r="A77" s="12" t="str">
        <x:f>IF(A76="","",IF(A76+1&gt;IF(AND(COUNTIF('Repeat Detail'!$A$6:$A$1005,"Quality")=21,COUNTIF('Repeat Detail'!$A$6:$A$1005,"Menu")=12,COUNTIF('Repeat Detail'!$A$6:$A$1005,"Daily")=SUMIFS('Repeat Detail'!$O$6:$O$1005,'Repeat Detail'!$A$6:$A$1005,"Quality",'Repeat Detail'!$H$6:$H$1005,"Date span")),SUMIFS('Repeat Detail'!$O$6:$O$1005,'Repeat Detail'!$A$6:$A$1005,"Quality",'Repeat Detail'!$H$6:$H$1005,"Last date"),NA()),"",A76+1))</x:f>
      </x:c>
      <x:c r="B77" s="20" t="str">
        <x:f>IF($A77="","",SUMIFS('Repeat Detail'!$I$6:$I$1005,'Repeat Detail'!$A$6:$A$1005,"Daily",'Repeat Detail'!$B$6:$B$1005,$A77))</x:f>
      </x:c>
      <x:c r="C77" s="20" t="str">
        <x:f>IF($A77="","",SUMIFS('Repeat Detail'!$J$6:$J$1005,'Repeat Detail'!$A$6:$A$1005,"Daily",'Repeat Detail'!$B$6:$B$1005,$A77))</x:f>
      </x:c>
      <x:c r="D77" s="20" t="str">
        <x:f>IF($A77="","",SUMIFS('Repeat Detail'!$K$6:$K$1005,'Repeat Detail'!$A$6:$A$1005,"Daily",'Repeat Detail'!$B$6:$B$1005,$A77))</x:f>
      </x:c>
      <x:c r="E77" s="20" t="str">
        <x:f>IF($A77="","",SUMIFS('Repeat Detail'!$L$6:$L$1005,'Repeat Detail'!$A$6:$A$1005,"Daily",'Repeat Detail'!$B$6:$B$1005,$A77))</x:f>
      </x:c>
      <x:c r="F77" s="22" t="str">
        <x:f>IF(A77="","",IF(D77=0,"n.a.",E77/D77))</x:f>
      </x:c>
      <x:c r="G77" s="20" t="str">
        <x:f>IF($A77="","",SUMIFS('Repeat Detail'!$M$6:$M$1005,'Repeat Detail'!$A$6:$A$1005,"Daily",'Repeat Detail'!$B$6:$B$1005,$A77))</x:f>
      </x:c>
      <x:c r="H77" s="22" t="str">
        <x:f>IF(A77="","",IF(C77=0,"n.a.",G77/C77))</x:f>
      </x:c>
      <x:c r="I77" s="20" t="str">
        <x:f>IF($A77="","",SUMIFS('Repeat Detail'!$N$6:$N$1005,'Repeat Detail'!$A$6:$A$1005,"Daily",'Repeat Detail'!$B$6:$B$1005,$A77))</x:f>
      </x:c>
      <x:c r="J77" s="20" t="str">
        <x:f>IF(A77="","",B77-C77)</x:f>
      </x:c>
    </x:row>
    <x:row r="78">
      <x:c r="A78" s="12" t="str">
        <x:f>IF(A77="","",IF(A77+1&gt;IF(AND(COUNTIF('Repeat Detail'!$A$6:$A$1005,"Quality")=21,COUNTIF('Repeat Detail'!$A$6:$A$1005,"Menu")=12,COUNTIF('Repeat Detail'!$A$6:$A$1005,"Daily")=SUMIFS('Repeat Detail'!$O$6:$O$1005,'Repeat Detail'!$A$6:$A$1005,"Quality",'Repeat Detail'!$H$6:$H$1005,"Date span")),SUMIFS('Repeat Detail'!$O$6:$O$1005,'Repeat Detail'!$A$6:$A$1005,"Quality",'Repeat Detail'!$H$6:$H$1005,"Last date"),NA()),"",A77+1))</x:f>
      </x:c>
      <x:c r="B78" s="20" t="str">
        <x:f>IF($A78="","",SUMIFS('Repeat Detail'!$I$6:$I$1005,'Repeat Detail'!$A$6:$A$1005,"Daily",'Repeat Detail'!$B$6:$B$1005,$A78))</x:f>
      </x:c>
      <x:c r="C78" s="20" t="str">
        <x:f>IF($A78="","",SUMIFS('Repeat Detail'!$J$6:$J$1005,'Repeat Detail'!$A$6:$A$1005,"Daily",'Repeat Detail'!$B$6:$B$1005,$A78))</x:f>
      </x:c>
      <x:c r="D78" s="20" t="str">
        <x:f>IF($A78="","",SUMIFS('Repeat Detail'!$K$6:$K$1005,'Repeat Detail'!$A$6:$A$1005,"Daily",'Repeat Detail'!$B$6:$B$1005,$A78))</x:f>
      </x:c>
      <x:c r="E78" s="20" t="str">
        <x:f>IF($A78="","",SUMIFS('Repeat Detail'!$L$6:$L$1005,'Repeat Detail'!$A$6:$A$1005,"Daily",'Repeat Detail'!$B$6:$B$1005,$A78))</x:f>
      </x:c>
      <x:c r="F78" s="22" t="str">
        <x:f>IF(A78="","",IF(D78=0,"n.a.",E78/D78))</x:f>
      </x:c>
      <x:c r="G78" s="20" t="str">
        <x:f>IF($A78="","",SUMIFS('Repeat Detail'!$M$6:$M$1005,'Repeat Detail'!$A$6:$A$1005,"Daily",'Repeat Detail'!$B$6:$B$1005,$A78))</x:f>
      </x:c>
      <x:c r="H78" s="22" t="str">
        <x:f>IF(A78="","",IF(C78=0,"n.a.",G78/C78))</x:f>
      </x:c>
      <x:c r="I78" s="20" t="str">
        <x:f>IF($A78="","",SUMIFS('Repeat Detail'!$N$6:$N$1005,'Repeat Detail'!$A$6:$A$1005,"Daily",'Repeat Detail'!$B$6:$B$1005,$A78))</x:f>
      </x:c>
      <x:c r="J78" s="20" t="str">
        <x:f>IF(A78="","",B78-C78)</x:f>
      </x:c>
    </x:row>
    <x:row r="79">
      <x:c r="A79" s="12" t="str">
        <x:f>IF(A78="","",IF(A78+1&gt;IF(AND(COUNTIF('Repeat Detail'!$A$6:$A$1005,"Quality")=21,COUNTIF('Repeat Detail'!$A$6:$A$1005,"Menu")=12,COUNTIF('Repeat Detail'!$A$6:$A$1005,"Daily")=SUMIFS('Repeat Detail'!$O$6:$O$1005,'Repeat Detail'!$A$6:$A$1005,"Quality",'Repeat Detail'!$H$6:$H$1005,"Date span")),SUMIFS('Repeat Detail'!$O$6:$O$1005,'Repeat Detail'!$A$6:$A$1005,"Quality",'Repeat Detail'!$H$6:$H$1005,"Last date"),NA()),"",A78+1))</x:f>
      </x:c>
      <x:c r="B79" s="20" t="str">
        <x:f>IF($A79="","",SUMIFS('Repeat Detail'!$I$6:$I$1005,'Repeat Detail'!$A$6:$A$1005,"Daily",'Repeat Detail'!$B$6:$B$1005,$A79))</x:f>
      </x:c>
      <x:c r="C79" s="20" t="str">
        <x:f>IF($A79="","",SUMIFS('Repeat Detail'!$J$6:$J$1005,'Repeat Detail'!$A$6:$A$1005,"Daily",'Repeat Detail'!$B$6:$B$1005,$A79))</x:f>
      </x:c>
      <x:c r="D79" s="20" t="str">
        <x:f>IF($A79="","",SUMIFS('Repeat Detail'!$K$6:$K$1005,'Repeat Detail'!$A$6:$A$1005,"Daily",'Repeat Detail'!$B$6:$B$1005,$A79))</x:f>
      </x:c>
      <x:c r="E79" s="20" t="str">
        <x:f>IF($A79="","",SUMIFS('Repeat Detail'!$L$6:$L$1005,'Repeat Detail'!$A$6:$A$1005,"Daily",'Repeat Detail'!$B$6:$B$1005,$A79))</x:f>
      </x:c>
      <x:c r="F79" s="22" t="str">
        <x:f>IF(A79="","",IF(D79=0,"n.a.",E79/D79))</x:f>
      </x:c>
      <x:c r="G79" s="20" t="str">
        <x:f>IF($A79="","",SUMIFS('Repeat Detail'!$M$6:$M$1005,'Repeat Detail'!$A$6:$A$1005,"Daily",'Repeat Detail'!$B$6:$B$1005,$A79))</x:f>
      </x:c>
      <x:c r="H79" s="22" t="str">
        <x:f>IF(A79="","",IF(C79=0,"n.a.",G79/C79))</x:f>
      </x:c>
      <x:c r="I79" s="20" t="str">
        <x:f>IF($A79="","",SUMIFS('Repeat Detail'!$N$6:$N$1005,'Repeat Detail'!$A$6:$A$1005,"Daily",'Repeat Detail'!$B$6:$B$1005,$A79))</x:f>
      </x:c>
      <x:c r="J79" s="20" t="str">
        <x:f>IF(A79="","",B79-C79)</x:f>
      </x:c>
    </x:row>
    <x:row r="80">
      <x:c r="A80" s="12" t="str">
        <x:f>IF(A79="","",IF(A79+1&gt;IF(AND(COUNTIF('Repeat Detail'!$A$6:$A$1005,"Quality")=21,COUNTIF('Repeat Detail'!$A$6:$A$1005,"Menu")=12,COUNTIF('Repeat Detail'!$A$6:$A$1005,"Daily")=SUMIFS('Repeat Detail'!$O$6:$O$1005,'Repeat Detail'!$A$6:$A$1005,"Quality",'Repeat Detail'!$H$6:$H$1005,"Date span")),SUMIFS('Repeat Detail'!$O$6:$O$1005,'Repeat Detail'!$A$6:$A$1005,"Quality",'Repeat Detail'!$H$6:$H$1005,"Last date"),NA()),"",A79+1))</x:f>
      </x:c>
      <x:c r="B80" s="20" t="str">
        <x:f>IF($A80="","",SUMIFS('Repeat Detail'!$I$6:$I$1005,'Repeat Detail'!$A$6:$A$1005,"Daily",'Repeat Detail'!$B$6:$B$1005,$A80))</x:f>
      </x:c>
      <x:c r="C80" s="20" t="str">
        <x:f>IF($A80="","",SUMIFS('Repeat Detail'!$J$6:$J$1005,'Repeat Detail'!$A$6:$A$1005,"Daily",'Repeat Detail'!$B$6:$B$1005,$A80))</x:f>
      </x:c>
      <x:c r="D80" s="20" t="str">
        <x:f>IF($A80="","",SUMIFS('Repeat Detail'!$K$6:$K$1005,'Repeat Detail'!$A$6:$A$1005,"Daily",'Repeat Detail'!$B$6:$B$1005,$A80))</x:f>
      </x:c>
      <x:c r="E80" s="20" t="str">
        <x:f>IF($A80="","",SUMIFS('Repeat Detail'!$L$6:$L$1005,'Repeat Detail'!$A$6:$A$1005,"Daily",'Repeat Detail'!$B$6:$B$1005,$A80))</x:f>
      </x:c>
      <x:c r="F80" s="22" t="str">
        <x:f>IF(A80="","",IF(D80=0,"n.a.",E80/D80))</x:f>
      </x:c>
      <x:c r="G80" s="20" t="str">
        <x:f>IF($A80="","",SUMIFS('Repeat Detail'!$M$6:$M$1005,'Repeat Detail'!$A$6:$A$1005,"Daily",'Repeat Detail'!$B$6:$B$1005,$A80))</x:f>
      </x:c>
      <x:c r="H80" s="22" t="str">
        <x:f>IF(A80="","",IF(C80=0,"n.a.",G80/C80))</x:f>
      </x:c>
      <x:c r="I80" s="20" t="str">
        <x:f>IF($A80="","",SUMIFS('Repeat Detail'!$N$6:$N$1005,'Repeat Detail'!$A$6:$A$1005,"Daily",'Repeat Detail'!$B$6:$B$1005,$A80))</x:f>
      </x:c>
      <x:c r="J80" s="20" t="str">
        <x:f>IF(A80="","",B80-C80)</x:f>
      </x:c>
    </x:row>
    <x:row r="81">
      <x:c r="A81" s="12" t="str">
        <x:f>IF(A80="","",IF(A80+1&gt;IF(AND(COUNTIF('Repeat Detail'!$A$6:$A$1005,"Quality")=21,COUNTIF('Repeat Detail'!$A$6:$A$1005,"Menu")=12,COUNTIF('Repeat Detail'!$A$6:$A$1005,"Daily")=SUMIFS('Repeat Detail'!$O$6:$O$1005,'Repeat Detail'!$A$6:$A$1005,"Quality",'Repeat Detail'!$H$6:$H$1005,"Date span")),SUMIFS('Repeat Detail'!$O$6:$O$1005,'Repeat Detail'!$A$6:$A$1005,"Quality",'Repeat Detail'!$H$6:$H$1005,"Last date"),NA()),"",A80+1))</x:f>
      </x:c>
      <x:c r="B81" s="20" t="str">
        <x:f>IF($A81="","",SUMIFS('Repeat Detail'!$I$6:$I$1005,'Repeat Detail'!$A$6:$A$1005,"Daily",'Repeat Detail'!$B$6:$B$1005,$A81))</x:f>
      </x:c>
      <x:c r="C81" s="20" t="str">
        <x:f>IF($A81="","",SUMIFS('Repeat Detail'!$J$6:$J$1005,'Repeat Detail'!$A$6:$A$1005,"Daily",'Repeat Detail'!$B$6:$B$1005,$A81))</x:f>
      </x:c>
      <x:c r="D81" s="20" t="str">
        <x:f>IF($A81="","",SUMIFS('Repeat Detail'!$K$6:$K$1005,'Repeat Detail'!$A$6:$A$1005,"Daily",'Repeat Detail'!$B$6:$B$1005,$A81))</x:f>
      </x:c>
      <x:c r="E81" s="20" t="str">
        <x:f>IF($A81="","",SUMIFS('Repeat Detail'!$L$6:$L$1005,'Repeat Detail'!$A$6:$A$1005,"Daily",'Repeat Detail'!$B$6:$B$1005,$A81))</x:f>
      </x:c>
      <x:c r="F81" s="22" t="str">
        <x:f>IF(A81="","",IF(D81=0,"n.a.",E81/D81))</x:f>
      </x:c>
      <x:c r="G81" s="20" t="str">
        <x:f>IF($A81="","",SUMIFS('Repeat Detail'!$M$6:$M$1005,'Repeat Detail'!$A$6:$A$1005,"Daily",'Repeat Detail'!$B$6:$B$1005,$A81))</x:f>
      </x:c>
      <x:c r="H81" s="22" t="str">
        <x:f>IF(A81="","",IF(C81=0,"n.a.",G81/C81))</x:f>
      </x:c>
      <x:c r="I81" s="20" t="str">
        <x:f>IF($A81="","",SUMIFS('Repeat Detail'!$N$6:$N$1005,'Repeat Detail'!$A$6:$A$1005,"Daily",'Repeat Detail'!$B$6:$B$1005,$A81))</x:f>
      </x:c>
      <x:c r="J81" s="20" t="str">
        <x:f>IF(A81="","",B81-C81)</x:f>
      </x:c>
    </x:row>
    <x:row r="82">
      <x:c r="A82" s="12" t="str">
        <x:f>IF(A81="","",IF(A81+1&gt;IF(AND(COUNTIF('Repeat Detail'!$A$6:$A$1005,"Quality")=21,COUNTIF('Repeat Detail'!$A$6:$A$1005,"Menu")=12,COUNTIF('Repeat Detail'!$A$6:$A$1005,"Daily")=SUMIFS('Repeat Detail'!$O$6:$O$1005,'Repeat Detail'!$A$6:$A$1005,"Quality",'Repeat Detail'!$H$6:$H$1005,"Date span")),SUMIFS('Repeat Detail'!$O$6:$O$1005,'Repeat Detail'!$A$6:$A$1005,"Quality",'Repeat Detail'!$H$6:$H$1005,"Last date"),NA()),"",A81+1))</x:f>
      </x:c>
      <x:c r="B82" s="20" t="str">
        <x:f>IF($A82="","",SUMIFS('Repeat Detail'!$I$6:$I$1005,'Repeat Detail'!$A$6:$A$1005,"Daily",'Repeat Detail'!$B$6:$B$1005,$A82))</x:f>
      </x:c>
      <x:c r="C82" s="20" t="str">
        <x:f>IF($A82="","",SUMIFS('Repeat Detail'!$J$6:$J$1005,'Repeat Detail'!$A$6:$A$1005,"Daily",'Repeat Detail'!$B$6:$B$1005,$A82))</x:f>
      </x:c>
      <x:c r="D82" s="20" t="str">
        <x:f>IF($A82="","",SUMIFS('Repeat Detail'!$K$6:$K$1005,'Repeat Detail'!$A$6:$A$1005,"Daily",'Repeat Detail'!$B$6:$B$1005,$A82))</x:f>
      </x:c>
      <x:c r="E82" s="20" t="str">
        <x:f>IF($A82="","",SUMIFS('Repeat Detail'!$L$6:$L$1005,'Repeat Detail'!$A$6:$A$1005,"Daily",'Repeat Detail'!$B$6:$B$1005,$A82))</x:f>
      </x:c>
      <x:c r="F82" s="22" t="str">
        <x:f>IF(A82="","",IF(D82=0,"n.a.",E82/D82))</x:f>
      </x:c>
      <x:c r="G82" s="20" t="str">
        <x:f>IF($A82="","",SUMIFS('Repeat Detail'!$M$6:$M$1005,'Repeat Detail'!$A$6:$A$1005,"Daily",'Repeat Detail'!$B$6:$B$1005,$A82))</x:f>
      </x:c>
      <x:c r="H82" s="22" t="str">
        <x:f>IF(A82="","",IF(C82=0,"n.a.",G82/C82))</x:f>
      </x:c>
      <x:c r="I82" s="20" t="str">
        <x:f>IF($A82="","",SUMIFS('Repeat Detail'!$N$6:$N$1005,'Repeat Detail'!$A$6:$A$1005,"Daily",'Repeat Detail'!$B$6:$B$1005,$A82))</x:f>
      </x:c>
      <x:c r="J82" s="20" t="str">
        <x:f>IF(A82="","",B82-C82)</x:f>
      </x:c>
    </x:row>
    <x:row r="83">
      <x:c r="A83" s="12" t="str">
        <x:f>IF(A82="","",IF(A82+1&gt;IF(AND(COUNTIF('Repeat Detail'!$A$6:$A$1005,"Quality")=21,COUNTIF('Repeat Detail'!$A$6:$A$1005,"Menu")=12,COUNTIF('Repeat Detail'!$A$6:$A$1005,"Daily")=SUMIFS('Repeat Detail'!$O$6:$O$1005,'Repeat Detail'!$A$6:$A$1005,"Quality",'Repeat Detail'!$H$6:$H$1005,"Date span")),SUMIFS('Repeat Detail'!$O$6:$O$1005,'Repeat Detail'!$A$6:$A$1005,"Quality",'Repeat Detail'!$H$6:$H$1005,"Last date"),NA()),"",A82+1))</x:f>
      </x:c>
      <x:c r="B83" s="20" t="str">
        <x:f>IF($A83="","",SUMIFS('Repeat Detail'!$I$6:$I$1005,'Repeat Detail'!$A$6:$A$1005,"Daily",'Repeat Detail'!$B$6:$B$1005,$A83))</x:f>
      </x:c>
      <x:c r="C83" s="20" t="str">
        <x:f>IF($A83="","",SUMIFS('Repeat Detail'!$J$6:$J$1005,'Repeat Detail'!$A$6:$A$1005,"Daily",'Repeat Detail'!$B$6:$B$1005,$A83))</x:f>
      </x:c>
      <x:c r="D83" s="20" t="str">
        <x:f>IF($A83="","",SUMIFS('Repeat Detail'!$K$6:$K$1005,'Repeat Detail'!$A$6:$A$1005,"Daily",'Repeat Detail'!$B$6:$B$1005,$A83))</x:f>
      </x:c>
      <x:c r="E83" s="20" t="str">
        <x:f>IF($A83="","",SUMIFS('Repeat Detail'!$L$6:$L$1005,'Repeat Detail'!$A$6:$A$1005,"Daily",'Repeat Detail'!$B$6:$B$1005,$A83))</x:f>
      </x:c>
      <x:c r="F83" s="22" t="str">
        <x:f>IF(A83="","",IF(D83=0,"n.a.",E83/D83))</x:f>
      </x:c>
      <x:c r="G83" s="20" t="str">
        <x:f>IF($A83="","",SUMIFS('Repeat Detail'!$M$6:$M$1005,'Repeat Detail'!$A$6:$A$1005,"Daily",'Repeat Detail'!$B$6:$B$1005,$A83))</x:f>
      </x:c>
      <x:c r="H83" s="22" t="str">
        <x:f>IF(A83="","",IF(C83=0,"n.a.",G83/C83))</x:f>
      </x:c>
      <x:c r="I83" s="20" t="str">
        <x:f>IF($A83="","",SUMIFS('Repeat Detail'!$N$6:$N$1005,'Repeat Detail'!$A$6:$A$1005,"Daily",'Repeat Detail'!$B$6:$B$1005,$A83))</x:f>
      </x:c>
      <x:c r="J83" s="20" t="str">
        <x:f>IF(A83="","",B83-C83)</x:f>
      </x:c>
    </x:row>
    <x:row r="84">
      <x:c r="A84" s="12" t="str">
        <x:f>IF(A83="","",IF(A83+1&gt;IF(AND(COUNTIF('Repeat Detail'!$A$6:$A$1005,"Quality")=21,COUNTIF('Repeat Detail'!$A$6:$A$1005,"Menu")=12,COUNTIF('Repeat Detail'!$A$6:$A$1005,"Daily")=SUMIFS('Repeat Detail'!$O$6:$O$1005,'Repeat Detail'!$A$6:$A$1005,"Quality",'Repeat Detail'!$H$6:$H$1005,"Date span")),SUMIFS('Repeat Detail'!$O$6:$O$1005,'Repeat Detail'!$A$6:$A$1005,"Quality",'Repeat Detail'!$H$6:$H$1005,"Last date"),NA()),"",A83+1))</x:f>
      </x:c>
      <x:c r="B84" s="20" t="str">
        <x:f>IF($A84="","",SUMIFS('Repeat Detail'!$I$6:$I$1005,'Repeat Detail'!$A$6:$A$1005,"Daily",'Repeat Detail'!$B$6:$B$1005,$A84))</x:f>
      </x:c>
      <x:c r="C84" s="20" t="str">
        <x:f>IF($A84="","",SUMIFS('Repeat Detail'!$J$6:$J$1005,'Repeat Detail'!$A$6:$A$1005,"Daily",'Repeat Detail'!$B$6:$B$1005,$A84))</x:f>
      </x:c>
      <x:c r="D84" s="20" t="str">
        <x:f>IF($A84="","",SUMIFS('Repeat Detail'!$K$6:$K$1005,'Repeat Detail'!$A$6:$A$1005,"Daily",'Repeat Detail'!$B$6:$B$1005,$A84))</x:f>
      </x:c>
      <x:c r="E84" s="20" t="str">
        <x:f>IF($A84="","",SUMIFS('Repeat Detail'!$L$6:$L$1005,'Repeat Detail'!$A$6:$A$1005,"Daily",'Repeat Detail'!$B$6:$B$1005,$A84))</x:f>
      </x:c>
      <x:c r="F84" s="22" t="str">
        <x:f>IF(A84="","",IF(D84=0,"n.a.",E84/D84))</x:f>
      </x:c>
      <x:c r="G84" s="20" t="str">
        <x:f>IF($A84="","",SUMIFS('Repeat Detail'!$M$6:$M$1005,'Repeat Detail'!$A$6:$A$1005,"Daily",'Repeat Detail'!$B$6:$B$1005,$A84))</x:f>
      </x:c>
      <x:c r="H84" s="22" t="str">
        <x:f>IF(A84="","",IF(C84=0,"n.a.",G84/C84))</x:f>
      </x:c>
      <x:c r="I84" s="20" t="str">
        <x:f>IF($A84="","",SUMIFS('Repeat Detail'!$N$6:$N$1005,'Repeat Detail'!$A$6:$A$1005,"Daily",'Repeat Detail'!$B$6:$B$1005,$A84))</x:f>
      </x:c>
      <x:c r="J84" s="20" t="str">
        <x:f>IF(A84="","",B84-C84)</x:f>
      </x:c>
    </x:row>
    <x:row r="85">
      <x:c r="A85" s="12" t="str">
        <x:f>IF(A84="","",IF(A84+1&gt;IF(AND(COUNTIF('Repeat Detail'!$A$6:$A$1005,"Quality")=21,COUNTIF('Repeat Detail'!$A$6:$A$1005,"Menu")=12,COUNTIF('Repeat Detail'!$A$6:$A$1005,"Daily")=SUMIFS('Repeat Detail'!$O$6:$O$1005,'Repeat Detail'!$A$6:$A$1005,"Quality",'Repeat Detail'!$H$6:$H$1005,"Date span")),SUMIFS('Repeat Detail'!$O$6:$O$1005,'Repeat Detail'!$A$6:$A$1005,"Quality",'Repeat Detail'!$H$6:$H$1005,"Last date"),NA()),"",A84+1))</x:f>
      </x:c>
      <x:c r="B85" s="20" t="str">
        <x:f>IF($A85="","",SUMIFS('Repeat Detail'!$I$6:$I$1005,'Repeat Detail'!$A$6:$A$1005,"Daily",'Repeat Detail'!$B$6:$B$1005,$A85))</x:f>
      </x:c>
      <x:c r="C85" s="20" t="str">
        <x:f>IF($A85="","",SUMIFS('Repeat Detail'!$J$6:$J$1005,'Repeat Detail'!$A$6:$A$1005,"Daily",'Repeat Detail'!$B$6:$B$1005,$A85))</x:f>
      </x:c>
      <x:c r="D85" s="20" t="str">
        <x:f>IF($A85="","",SUMIFS('Repeat Detail'!$K$6:$K$1005,'Repeat Detail'!$A$6:$A$1005,"Daily",'Repeat Detail'!$B$6:$B$1005,$A85))</x:f>
      </x:c>
      <x:c r="E85" s="20" t="str">
        <x:f>IF($A85="","",SUMIFS('Repeat Detail'!$L$6:$L$1005,'Repeat Detail'!$A$6:$A$1005,"Daily",'Repeat Detail'!$B$6:$B$1005,$A85))</x:f>
      </x:c>
      <x:c r="F85" s="22" t="str">
        <x:f>IF(A85="","",IF(D85=0,"n.a.",E85/D85))</x:f>
      </x:c>
      <x:c r="G85" s="20" t="str">
        <x:f>IF($A85="","",SUMIFS('Repeat Detail'!$M$6:$M$1005,'Repeat Detail'!$A$6:$A$1005,"Daily",'Repeat Detail'!$B$6:$B$1005,$A85))</x:f>
      </x:c>
      <x:c r="H85" s="22" t="str">
        <x:f>IF(A85="","",IF(C85=0,"n.a.",G85/C85))</x:f>
      </x:c>
      <x:c r="I85" s="20" t="str">
        <x:f>IF($A85="","",SUMIFS('Repeat Detail'!$N$6:$N$1005,'Repeat Detail'!$A$6:$A$1005,"Daily",'Repeat Detail'!$B$6:$B$1005,$A85))</x:f>
      </x:c>
      <x:c r="J85" s="20" t="str">
        <x:f>IF(A85="","",B85-C85)</x:f>
      </x:c>
    </x:row>
    <x:row r="86">
      <x:c r="A86" s="12" t="str">
        <x:f>IF(A85="","",IF(A85+1&gt;IF(AND(COUNTIF('Repeat Detail'!$A$6:$A$1005,"Quality")=21,COUNTIF('Repeat Detail'!$A$6:$A$1005,"Menu")=12,COUNTIF('Repeat Detail'!$A$6:$A$1005,"Daily")=SUMIFS('Repeat Detail'!$O$6:$O$1005,'Repeat Detail'!$A$6:$A$1005,"Quality",'Repeat Detail'!$H$6:$H$1005,"Date span")),SUMIFS('Repeat Detail'!$O$6:$O$1005,'Repeat Detail'!$A$6:$A$1005,"Quality",'Repeat Detail'!$H$6:$H$1005,"Last date"),NA()),"",A85+1))</x:f>
      </x:c>
      <x:c r="B86" s="20" t="str">
        <x:f>IF($A86="","",SUMIFS('Repeat Detail'!$I$6:$I$1005,'Repeat Detail'!$A$6:$A$1005,"Daily",'Repeat Detail'!$B$6:$B$1005,$A86))</x:f>
      </x:c>
      <x:c r="C86" s="20" t="str">
        <x:f>IF($A86="","",SUMIFS('Repeat Detail'!$J$6:$J$1005,'Repeat Detail'!$A$6:$A$1005,"Daily",'Repeat Detail'!$B$6:$B$1005,$A86))</x:f>
      </x:c>
      <x:c r="D86" s="20" t="str">
        <x:f>IF($A86="","",SUMIFS('Repeat Detail'!$K$6:$K$1005,'Repeat Detail'!$A$6:$A$1005,"Daily",'Repeat Detail'!$B$6:$B$1005,$A86))</x:f>
      </x:c>
      <x:c r="E86" s="20" t="str">
        <x:f>IF($A86="","",SUMIFS('Repeat Detail'!$L$6:$L$1005,'Repeat Detail'!$A$6:$A$1005,"Daily",'Repeat Detail'!$B$6:$B$1005,$A86))</x:f>
      </x:c>
      <x:c r="F86" s="22" t="str">
        <x:f>IF(A86="","",IF(D86=0,"n.a.",E86/D86))</x:f>
      </x:c>
      <x:c r="G86" s="20" t="str">
        <x:f>IF($A86="","",SUMIFS('Repeat Detail'!$M$6:$M$1005,'Repeat Detail'!$A$6:$A$1005,"Daily",'Repeat Detail'!$B$6:$B$1005,$A86))</x:f>
      </x:c>
      <x:c r="H86" s="22" t="str">
        <x:f>IF(A86="","",IF(C86=0,"n.a.",G86/C86))</x:f>
      </x:c>
      <x:c r="I86" s="20" t="str">
        <x:f>IF($A86="","",SUMIFS('Repeat Detail'!$N$6:$N$1005,'Repeat Detail'!$A$6:$A$1005,"Daily",'Repeat Detail'!$B$6:$B$1005,$A86))</x:f>
      </x:c>
      <x:c r="J86" s="20" t="str">
        <x:f>IF(A86="","",B86-C86)</x:f>
      </x:c>
    </x:row>
    <x:row r="87">
      <x:c r="A87" s="12" t="str">
        <x:f>IF(A86="","",IF(A86+1&gt;IF(AND(COUNTIF('Repeat Detail'!$A$6:$A$1005,"Quality")=21,COUNTIF('Repeat Detail'!$A$6:$A$1005,"Menu")=12,COUNTIF('Repeat Detail'!$A$6:$A$1005,"Daily")=SUMIFS('Repeat Detail'!$O$6:$O$1005,'Repeat Detail'!$A$6:$A$1005,"Quality",'Repeat Detail'!$H$6:$H$1005,"Date span")),SUMIFS('Repeat Detail'!$O$6:$O$1005,'Repeat Detail'!$A$6:$A$1005,"Quality",'Repeat Detail'!$H$6:$H$1005,"Last date"),NA()),"",A86+1))</x:f>
      </x:c>
      <x:c r="B87" s="20" t="str">
        <x:f>IF($A87="","",SUMIFS('Repeat Detail'!$I$6:$I$1005,'Repeat Detail'!$A$6:$A$1005,"Daily",'Repeat Detail'!$B$6:$B$1005,$A87))</x:f>
      </x:c>
      <x:c r="C87" s="20" t="str">
        <x:f>IF($A87="","",SUMIFS('Repeat Detail'!$J$6:$J$1005,'Repeat Detail'!$A$6:$A$1005,"Daily",'Repeat Detail'!$B$6:$B$1005,$A87))</x:f>
      </x:c>
      <x:c r="D87" s="20" t="str">
        <x:f>IF($A87="","",SUMIFS('Repeat Detail'!$K$6:$K$1005,'Repeat Detail'!$A$6:$A$1005,"Daily",'Repeat Detail'!$B$6:$B$1005,$A87))</x:f>
      </x:c>
      <x:c r="E87" s="20" t="str">
        <x:f>IF($A87="","",SUMIFS('Repeat Detail'!$L$6:$L$1005,'Repeat Detail'!$A$6:$A$1005,"Daily",'Repeat Detail'!$B$6:$B$1005,$A87))</x:f>
      </x:c>
      <x:c r="F87" s="22" t="str">
        <x:f>IF(A87="","",IF(D87=0,"n.a.",E87/D87))</x:f>
      </x:c>
      <x:c r="G87" s="20" t="str">
        <x:f>IF($A87="","",SUMIFS('Repeat Detail'!$M$6:$M$1005,'Repeat Detail'!$A$6:$A$1005,"Daily",'Repeat Detail'!$B$6:$B$1005,$A87))</x:f>
      </x:c>
      <x:c r="H87" s="22" t="str">
        <x:f>IF(A87="","",IF(C87=0,"n.a.",G87/C87))</x:f>
      </x:c>
      <x:c r="I87" s="20" t="str">
        <x:f>IF($A87="","",SUMIFS('Repeat Detail'!$N$6:$N$1005,'Repeat Detail'!$A$6:$A$1005,"Daily",'Repeat Detail'!$B$6:$B$1005,$A87))</x:f>
      </x:c>
      <x:c r="J87" s="20" t="str">
        <x:f>IF(A87="","",B87-C87)</x:f>
      </x:c>
    </x:row>
    <x:row r="88">
      <x:c r="A88" s="12" t="str">
        <x:f>IF(A87="","",IF(A87+1&gt;IF(AND(COUNTIF('Repeat Detail'!$A$6:$A$1005,"Quality")=21,COUNTIF('Repeat Detail'!$A$6:$A$1005,"Menu")=12,COUNTIF('Repeat Detail'!$A$6:$A$1005,"Daily")=SUMIFS('Repeat Detail'!$O$6:$O$1005,'Repeat Detail'!$A$6:$A$1005,"Quality",'Repeat Detail'!$H$6:$H$1005,"Date span")),SUMIFS('Repeat Detail'!$O$6:$O$1005,'Repeat Detail'!$A$6:$A$1005,"Quality",'Repeat Detail'!$H$6:$H$1005,"Last date"),NA()),"",A87+1))</x:f>
      </x:c>
      <x:c r="B88" s="20" t="str">
        <x:f>IF($A88="","",SUMIFS('Repeat Detail'!$I$6:$I$1005,'Repeat Detail'!$A$6:$A$1005,"Daily",'Repeat Detail'!$B$6:$B$1005,$A88))</x:f>
      </x:c>
      <x:c r="C88" s="20" t="str">
        <x:f>IF($A88="","",SUMIFS('Repeat Detail'!$J$6:$J$1005,'Repeat Detail'!$A$6:$A$1005,"Daily",'Repeat Detail'!$B$6:$B$1005,$A88))</x:f>
      </x:c>
      <x:c r="D88" s="20" t="str">
        <x:f>IF($A88="","",SUMIFS('Repeat Detail'!$K$6:$K$1005,'Repeat Detail'!$A$6:$A$1005,"Daily",'Repeat Detail'!$B$6:$B$1005,$A88))</x:f>
      </x:c>
      <x:c r="E88" s="20" t="str">
        <x:f>IF($A88="","",SUMIFS('Repeat Detail'!$L$6:$L$1005,'Repeat Detail'!$A$6:$A$1005,"Daily",'Repeat Detail'!$B$6:$B$1005,$A88))</x:f>
      </x:c>
      <x:c r="F88" s="22" t="str">
        <x:f>IF(A88="","",IF(D88=0,"n.a.",E88/D88))</x:f>
      </x:c>
      <x:c r="G88" s="20" t="str">
        <x:f>IF($A88="","",SUMIFS('Repeat Detail'!$M$6:$M$1005,'Repeat Detail'!$A$6:$A$1005,"Daily",'Repeat Detail'!$B$6:$B$1005,$A88))</x:f>
      </x:c>
      <x:c r="H88" s="22" t="str">
        <x:f>IF(A88="","",IF(C88=0,"n.a.",G88/C88))</x:f>
      </x:c>
      <x:c r="I88" s="20" t="str">
        <x:f>IF($A88="","",SUMIFS('Repeat Detail'!$N$6:$N$1005,'Repeat Detail'!$A$6:$A$1005,"Daily",'Repeat Detail'!$B$6:$B$1005,$A88))</x:f>
      </x:c>
      <x:c r="J88" s="20" t="str">
        <x:f>IF(A88="","",B88-C88)</x:f>
      </x:c>
    </x:row>
    <x:row r="89">
      <x:c r="A89" s="12" t="str">
        <x:f>IF(A88="","",IF(A88+1&gt;IF(AND(COUNTIF('Repeat Detail'!$A$6:$A$1005,"Quality")=21,COUNTIF('Repeat Detail'!$A$6:$A$1005,"Menu")=12,COUNTIF('Repeat Detail'!$A$6:$A$1005,"Daily")=SUMIFS('Repeat Detail'!$O$6:$O$1005,'Repeat Detail'!$A$6:$A$1005,"Quality",'Repeat Detail'!$H$6:$H$1005,"Date span")),SUMIFS('Repeat Detail'!$O$6:$O$1005,'Repeat Detail'!$A$6:$A$1005,"Quality",'Repeat Detail'!$H$6:$H$1005,"Last date"),NA()),"",A88+1))</x:f>
      </x:c>
      <x:c r="B89" s="20" t="str">
        <x:f>IF($A89="","",SUMIFS('Repeat Detail'!$I$6:$I$1005,'Repeat Detail'!$A$6:$A$1005,"Daily",'Repeat Detail'!$B$6:$B$1005,$A89))</x:f>
      </x:c>
      <x:c r="C89" s="20" t="str">
        <x:f>IF($A89="","",SUMIFS('Repeat Detail'!$J$6:$J$1005,'Repeat Detail'!$A$6:$A$1005,"Daily",'Repeat Detail'!$B$6:$B$1005,$A89))</x:f>
      </x:c>
      <x:c r="D89" s="20" t="str">
        <x:f>IF($A89="","",SUMIFS('Repeat Detail'!$K$6:$K$1005,'Repeat Detail'!$A$6:$A$1005,"Daily",'Repeat Detail'!$B$6:$B$1005,$A89))</x:f>
      </x:c>
      <x:c r="E89" s="20" t="str">
        <x:f>IF($A89="","",SUMIFS('Repeat Detail'!$L$6:$L$1005,'Repeat Detail'!$A$6:$A$1005,"Daily",'Repeat Detail'!$B$6:$B$1005,$A89))</x:f>
      </x:c>
      <x:c r="F89" s="22" t="str">
        <x:f>IF(A89="","",IF(D89=0,"n.a.",E89/D89))</x:f>
      </x:c>
      <x:c r="G89" s="20" t="str">
        <x:f>IF($A89="","",SUMIFS('Repeat Detail'!$M$6:$M$1005,'Repeat Detail'!$A$6:$A$1005,"Daily",'Repeat Detail'!$B$6:$B$1005,$A89))</x:f>
      </x:c>
      <x:c r="H89" s="22" t="str">
        <x:f>IF(A89="","",IF(C89=0,"n.a.",G89/C89))</x:f>
      </x:c>
      <x:c r="I89" s="20" t="str">
        <x:f>IF($A89="","",SUMIFS('Repeat Detail'!$N$6:$N$1005,'Repeat Detail'!$A$6:$A$1005,"Daily",'Repeat Detail'!$B$6:$B$1005,$A89))</x:f>
      </x:c>
      <x:c r="J89" s="20" t="str">
        <x:f>IF(A89="","",B89-C89)</x:f>
      </x:c>
    </x:row>
    <x:row r="90">
      <x:c r="A90" s="12" t="str">
        <x:f>IF(A89="","",IF(A89+1&gt;IF(AND(COUNTIF('Repeat Detail'!$A$6:$A$1005,"Quality")=21,COUNTIF('Repeat Detail'!$A$6:$A$1005,"Menu")=12,COUNTIF('Repeat Detail'!$A$6:$A$1005,"Daily")=SUMIFS('Repeat Detail'!$O$6:$O$1005,'Repeat Detail'!$A$6:$A$1005,"Quality",'Repeat Detail'!$H$6:$H$1005,"Date span")),SUMIFS('Repeat Detail'!$O$6:$O$1005,'Repeat Detail'!$A$6:$A$1005,"Quality",'Repeat Detail'!$H$6:$H$1005,"Last date"),NA()),"",A89+1))</x:f>
      </x:c>
      <x:c r="B90" s="20" t="str">
        <x:f>IF($A90="","",SUMIFS('Repeat Detail'!$I$6:$I$1005,'Repeat Detail'!$A$6:$A$1005,"Daily",'Repeat Detail'!$B$6:$B$1005,$A90))</x:f>
      </x:c>
      <x:c r="C90" s="20" t="str">
        <x:f>IF($A90="","",SUMIFS('Repeat Detail'!$J$6:$J$1005,'Repeat Detail'!$A$6:$A$1005,"Daily",'Repeat Detail'!$B$6:$B$1005,$A90))</x:f>
      </x:c>
      <x:c r="D90" s="20" t="str">
        <x:f>IF($A90="","",SUMIFS('Repeat Detail'!$K$6:$K$1005,'Repeat Detail'!$A$6:$A$1005,"Daily",'Repeat Detail'!$B$6:$B$1005,$A90))</x:f>
      </x:c>
      <x:c r="E90" s="20" t="str">
        <x:f>IF($A90="","",SUMIFS('Repeat Detail'!$L$6:$L$1005,'Repeat Detail'!$A$6:$A$1005,"Daily",'Repeat Detail'!$B$6:$B$1005,$A90))</x:f>
      </x:c>
      <x:c r="F90" s="22" t="str">
        <x:f>IF(A90="","",IF(D90=0,"n.a.",E90/D90))</x:f>
      </x:c>
      <x:c r="G90" s="20" t="str">
        <x:f>IF($A90="","",SUMIFS('Repeat Detail'!$M$6:$M$1005,'Repeat Detail'!$A$6:$A$1005,"Daily",'Repeat Detail'!$B$6:$B$1005,$A90))</x:f>
      </x:c>
      <x:c r="H90" s="22" t="str">
        <x:f>IF(A90="","",IF(C90=0,"n.a.",G90/C90))</x:f>
      </x:c>
      <x:c r="I90" s="20" t="str">
        <x:f>IF($A90="","",SUMIFS('Repeat Detail'!$N$6:$N$1005,'Repeat Detail'!$A$6:$A$1005,"Daily",'Repeat Detail'!$B$6:$B$1005,$A90))</x:f>
      </x:c>
      <x:c r="J90" s="20" t="str">
        <x:f>IF(A90="","",B90-C90)</x:f>
      </x:c>
    </x:row>
    <x:row r="91">
      <x:c r="A91" s="12" t="str">
        <x:f>IF(A90="","",IF(A90+1&gt;IF(AND(COUNTIF('Repeat Detail'!$A$6:$A$1005,"Quality")=21,COUNTIF('Repeat Detail'!$A$6:$A$1005,"Menu")=12,COUNTIF('Repeat Detail'!$A$6:$A$1005,"Daily")=SUMIFS('Repeat Detail'!$O$6:$O$1005,'Repeat Detail'!$A$6:$A$1005,"Quality",'Repeat Detail'!$H$6:$H$1005,"Date span")),SUMIFS('Repeat Detail'!$O$6:$O$1005,'Repeat Detail'!$A$6:$A$1005,"Quality",'Repeat Detail'!$H$6:$H$1005,"Last date"),NA()),"",A90+1))</x:f>
      </x:c>
      <x:c r="B91" s="20" t="str">
        <x:f>IF($A91="","",SUMIFS('Repeat Detail'!$I$6:$I$1005,'Repeat Detail'!$A$6:$A$1005,"Daily",'Repeat Detail'!$B$6:$B$1005,$A91))</x:f>
      </x:c>
      <x:c r="C91" s="20" t="str">
        <x:f>IF($A91="","",SUMIFS('Repeat Detail'!$J$6:$J$1005,'Repeat Detail'!$A$6:$A$1005,"Daily",'Repeat Detail'!$B$6:$B$1005,$A91))</x:f>
      </x:c>
      <x:c r="D91" s="20" t="str">
        <x:f>IF($A91="","",SUMIFS('Repeat Detail'!$K$6:$K$1005,'Repeat Detail'!$A$6:$A$1005,"Daily",'Repeat Detail'!$B$6:$B$1005,$A91))</x:f>
      </x:c>
      <x:c r="E91" s="20" t="str">
        <x:f>IF($A91="","",SUMIFS('Repeat Detail'!$L$6:$L$1005,'Repeat Detail'!$A$6:$A$1005,"Daily",'Repeat Detail'!$B$6:$B$1005,$A91))</x:f>
      </x:c>
      <x:c r="F91" s="22" t="str">
        <x:f>IF(A91="","",IF(D91=0,"n.a.",E91/D91))</x:f>
      </x:c>
      <x:c r="G91" s="20" t="str">
        <x:f>IF($A91="","",SUMIFS('Repeat Detail'!$M$6:$M$1005,'Repeat Detail'!$A$6:$A$1005,"Daily",'Repeat Detail'!$B$6:$B$1005,$A91))</x:f>
      </x:c>
      <x:c r="H91" s="22" t="str">
        <x:f>IF(A91="","",IF(C91=0,"n.a.",G91/C91))</x:f>
      </x:c>
      <x:c r="I91" s="20" t="str">
        <x:f>IF($A91="","",SUMIFS('Repeat Detail'!$N$6:$N$1005,'Repeat Detail'!$A$6:$A$1005,"Daily",'Repeat Detail'!$B$6:$B$1005,$A91))</x:f>
      </x:c>
      <x:c r="J91" s="20" t="str">
        <x:f>IF(A91="","",B91-C91)</x:f>
      </x:c>
    </x:row>
    <x:row r="92">
      <x:c r="A92" s="12" t="str">
        <x:f>IF(A91="","",IF(A91+1&gt;IF(AND(COUNTIF('Repeat Detail'!$A$6:$A$1005,"Quality")=21,COUNTIF('Repeat Detail'!$A$6:$A$1005,"Menu")=12,COUNTIF('Repeat Detail'!$A$6:$A$1005,"Daily")=SUMIFS('Repeat Detail'!$O$6:$O$1005,'Repeat Detail'!$A$6:$A$1005,"Quality",'Repeat Detail'!$H$6:$H$1005,"Date span")),SUMIFS('Repeat Detail'!$O$6:$O$1005,'Repeat Detail'!$A$6:$A$1005,"Quality",'Repeat Detail'!$H$6:$H$1005,"Last date"),NA()),"",A91+1))</x:f>
      </x:c>
      <x:c r="B92" s="20" t="str">
        <x:f>IF($A92="","",SUMIFS('Repeat Detail'!$I$6:$I$1005,'Repeat Detail'!$A$6:$A$1005,"Daily",'Repeat Detail'!$B$6:$B$1005,$A92))</x:f>
      </x:c>
      <x:c r="C92" s="20" t="str">
        <x:f>IF($A92="","",SUMIFS('Repeat Detail'!$J$6:$J$1005,'Repeat Detail'!$A$6:$A$1005,"Daily",'Repeat Detail'!$B$6:$B$1005,$A92))</x:f>
      </x:c>
      <x:c r="D92" s="20" t="str">
        <x:f>IF($A92="","",SUMIFS('Repeat Detail'!$K$6:$K$1005,'Repeat Detail'!$A$6:$A$1005,"Daily",'Repeat Detail'!$B$6:$B$1005,$A92))</x:f>
      </x:c>
      <x:c r="E92" s="20" t="str">
        <x:f>IF($A92="","",SUMIFS('Repeat Detail'!$L$6:$L$1005,'Repeat Detail'!$A$6:$A$1005,"Daily",'Repeat Detail'!$B$6:$B$1005,$A92))</x:f>
      </x:c>
      <x:c r="F92" s="22" t="str">
        <x:f>IF(A92="","",IF(D92=0,"n.a.",E92/D92))</x:f>
      </x:c>
      <x:c r="G92" s="20" t="str">
        <x:f>IF($A92="","",SUMIFS('Repeat Detail'!$M$6:$M$1005,'Repeat Detail'!$A$6:$A$1005,"Daily",'Repeat Detail'!$B$6:$B$1005,$A92))</x:f>
      </x:c>
      <x:c r="H92" s="22" t="str">
        <x:f>IF(A92="","",IF(C92=0,"n.a.",G92/C92))</x:f>
      </x:c>
      <x:c r="I92" s="20" t="str">
        <x:f>IF($A92="","",SUMIFS('Repeat Detail'!$N$6:$N$1005,'Repeat Detail'!$A$6:$A$1005,"Daily",'Repeat Detail'!$B$6:$B$1005,$A92))</x:f>
      </x:c>
      <x:c r="J92" s="20" t="str">
        <x:f>IF(A92="","",B92-C92)</x:f>
      </x:c>
    </x:row>
    <x:row r="93">
      <x:c r="A93" s="12" t="str">
        <x:f>IF(A92="","",IF(A92+1&gt;IF(AND(COUNTIF('Repeat Detail'!$A$6:$A$1005,"Quality")=21,COUNTIF('Repeat Detail'!$A$6:$A$1005,"Menu")=12,COUNTIF('Repeat Detail'!$A$6:$A$1005,"Daily")=SUMIFS('Repeat Detail'!$O$6:$O$1005,'Repeat Detail'!$A$6:$A$1005,"Quality",'Repeat Detail'!$H$6:$H$1005,"Date span")),SUMIFS('Repeat Detail'!$O$6:$O$1005,'Repeat Detail'!$A$6:$A$1005,"Quality",'Repeat Detail'!$H$6:$H$1005,"Last date"),NA()),"",A92+1))</x:f>
      </x:c>
      <x:c r="B93" s="20" t="str">
        <x:f>IF($A93="","",SUMIFS('Repeat Detail'!$I$6:$I$1005,'Repeat Detail'!$A$6:$A$1005,"Daily",'Repeat Detail'!$B$6:$B$1005,$A93))</x:f>
      </x:c>
      <x:c r="C93" s="20" t="str">
        <x:f>IF($A93="","",SUMIFS('Repeat Detail'!$J$6:$J$1005,'Repeat Detail'!$A$6:$A$1005,"Daily",'Repeat Detail'!$B$6:$B$1005,$A93))</x:f>
      </x:c>
      <x:c r="D93" s="20" t="str">
        <x:f>IF($A93="","",SUMIFS('Repeat Detail'!$K$6:$K$1005,'Repeat Detail'!$A$6:$A$1005,"Daily",'Repeat Detail'!$B$6:$B$1005,$A93))</x:f>
      </x:c>
      <x:c r="E93" s="20" t="str">
        <x:f>IF($A93="","",SUMIFS('Repeat Detail'!$L$6:$L$1005,'Repeat Detail'!$A$6:$A$1005,"Daily",'Repeat Detail'!$B$6:$B$1005,$A93))</x:f>
      </x:c>
      <x:c r="F93" s="22" t="str">
        <x:f>IF(A93="","",IF(D93=0,"n.a.",E93/D93))</x:f>
      </x:c>
      <x:c r="G93" s="20" t="str">
        <x:f>IF($A93="","",SUMIFS('Repeat Detail'!$M$6:$M$1005,'Repeat Detail'!$A$6:$A$1005,"Daily",'Repeat Detail'!$B$6:$B$1005,$A93))</x:f>
      </x:c>
      <x:c r="H93" s="22" t="str">
        <x:f>IF(A93="","",IF(C93=0,"n.a.",G93/C93))</x:f>
      </x:c>
      <x:c r="I93" s="20" t="str">
        <x:f>IF($A93="","",SUMIFS('Repeat Detail'!$N$6:$N$1005,'Repeat Detail'!$A$6:$A$1005,"Daily",'Repeat Detail'!$B$6:$B$1005,$A93))</x:f>
      </x:c>
      <x:c r="J93" s="20" t="str">
        <x:f>IF(A93="","",B93-C93)</x:f>
      </x:c>
    </x:row>
    <x:row r="94">
      <x:c r="A94" s="12" t="str">
        <x:f>IF(A93="","",IF(A93+1&gt;IF(AND(COUNTIF('Repeat Detail'!$A$6:$A$1005,"Quality")=21,COUNTIF('Repeat Detail'!$A$6:$A$1005,"Menu")=12,COUNTIF('Repeat Detail'!$A$6:$A$1005,"Daily")=SUMIFS('Repeat Detail'!$O$6:$O$1005,'Repeat Detail'!$A$6:$A$1005,"Quality",'Repeat Detail'!$H$6:$H$1005,"Date span")),SUMIFS('Repeat Detail'!$O$6:$O$1005,'Repeat Detail'!$A$6:$A$1005,"Quality",'Repeat Detail'!$H$6:$H$1005,"Last date"),NA()),"",A93+1))</x:f>
      </x:c>
      <x:c r="B94" s="20" t="str">
        <x:f>IF($A94="","",SUMIFS('Repeat Detail'!$I$6:$I$1005,'Repeat Detail'!$A$6:$A$1005,"Daily",'Repeat Detail'!$B$6:$B$1005,$A94))</x:f>
      </x:c>
      <x:c r="C94" s="20" t="str">
        <x:f>IF($A94="","",SUMIFS('Repeat Detail'!$J$6:$J$1005,'Repeat Detail'!$A$6:$A$1005,"Daily",'Repeat Detail'!$B$6:$B$1005,$A94))</x:f>
      </x:c>
      <x:c r="D94" s="20" t="str">
        <x:f>IF($A94="","",SUMIFS('Repeat Detail'!$K$6:$K$1005,'Repeat Detail'!$A$6:$A$1005,"Daily",'Repeat Detail'!$B$6:$B$1005,$A94))</x:f>
      </x:c>
      <x:c r="E94" s="20" t="str">
        <x:f>IF($A94="","",SUMIFS('Repeat Detail'!$L$6:$L$1005,'Repeat Detail'!$A$6:$A$1005,"Daily",'Repeat Detail'!$B$6:$B$1005,$A94))</x:f>
      </x:c>
      <x:c r="F94" s="22" t="str">
        <x:f>IF(A94="","",IF(D94=0,"n.a.",E94/D94))</x:f>
      </x:c>
      <x:c r="G94" s="20" t="str">
        <x:f>IF($A94="","",SUMIFS('Repeat Detail'!$M$6:$M$1005,'Repeat Detail'!$A$6:$A$1005,"Daily",'Repeat Detail'!$B$6:$B$1005,$A94))</x:f>
      </x:c>
      <x:c r="H94" s="22" t="str">
        <x:f>IF(A94="","",IF(C94=0,"n.a.",G94/C94))</x:f>
      </x:c>
      <x:c r="I94" s="20" t="str">
        <x:f>IF($A94="","",SUMIFS('Repeat Detail'!$N$6:$N$1005,'Repeat Detail'!$A$6:$A$1005,"Daily",'Repeat Detail'!$B$6:$B$1005,$A94))</x:f>
      </x:c>
      <x:c r="J94" s="20" t="str">
        <x:f>IF(A94="","",B94-C94)</x:f>
      </x:c>
    </x:row>
    <x:row r="95">
      <x:c r="A95" s="12" t="str">
        <x:f>IF(A94="","",IF(A94+1&gt;IF(AND(COUNTIF('Repeat Detail'!$A$6:$A$1005,"Quality")=21,COUNTIF('Repeat Detail'!$A$6:$A$1005,"Menu")=12,COUNTIF('Repeat Detail'!$A$6:$A$1005,"Daily")=SUMIFS('Repeat Detail'!$O$6:$O$1005,'Repeat Detail'!$A$6:$A$1005,"Quality",'Repeat Detail'!$H$6:$H$1005,"Date span")),SUMIFS('Repeat Detail'!$O$6:$O$1005,'Repeat Detail'!$A$6:$A$1005,"Quality",'Repeat Detail'!$H$6:$H$1005,"Last date"),NA()),"",A94+1))</x:f>
      </x:c>
      <x:c r="B95" s="20" t="str">
        <x:f>IF($A95="","",SUMIFS('Repeat Detail'!$I$6:$I$1005,'Repeat Detail'!$A$6:$A$1005,"Daily",'Repeat Detail'!$B$6:$B$1005,$A95))</x:f>
      </x:c>
      <x:c r="C95" s="20" t="str">
        <x:f>IF($A95="","",SUMIFS('Repeat Detail'!$J$6:$J$1005,'Repeat Detail'!$A$6:$A$1005,"Daily",'Repeat Detail'!$B$6:$B$1005,$A95))</x:f>
      </x:c>
      <x:c r="D95" s="20" t="str">
        <x:f>IF($A95="","",SUMIFS('Repeat Detail'!$K$6:$K$1005,'Repeat Detail'!$A$6:$A$1005,"Daily",'Repeat Detail'!$B$6:$B$1005,$A95))</x:f>
      </x:c>
      <x:c r="E95" s="20" t="str">
        <x:f>IF($A95="","",SUMIFS('Repeat Detail'!$L$6:$L$1005,'Repeat Detail'!$A$6:$A$1005,"Daily",'Repeat Detail'!$B$6:$B$1005,$A95))</x:f>
      </x:c>
      <x:c r="F95" s="22" t="str">
        <x:f>IF(A95="","",IF(D95=0,"n.a.",E95/D95))</x:f>
      </x:c>
      <x:c r="G95" s="20" t="str">
        <x:f>IF($A95="","",SUMIFS('Repeat Detail'!$M$6:$M$1005,'Repeat Detail'!$A$6:$A$1005,"Daily",'Repeat Detail'!$B$6:$B$1005,$A95))</x:f>
      </x:c>
      <x:c r="H95" s="22" t="str">
        <x:f>IF(A95="","",IF(C95=0,"n.a.",G95/C95))</x:f>
      </x:c>
      <x:c r="I95" s="20" t="str">
        <x:f>IF($A95="","",SUMIFS('Repeat Detail'!$N$6:$N$1005,'Repeat Detail'!$A$6:$A$1005,"Daily",'Repeat Detail'!$B$6:$B$1005,$A95))</x:f>
      </x:c>
      <x:c r="J95" s="20" t="str">
        <x:f>IF(A95="","",B95-C95)</x:f>
      </x:c>
    </x:row>
    <x:row r="96">
      <x:c r="A96" s="12" t="str">
        <x:f>IF(A95="","",IF(A95+1&gt;IF(AND(COUNTIF('Repeat Detail'!$A$6:$A$1005,"Quality")=21,COUNTIF('Repeat Detail'!$A$6:$A$1005,"Menu")=12,COUNTIF('Repeat Detail'!$A$6:$A$1005,"Daily")=SUMIFS('Repeat Detail'!$O$6:$O$1005,'Repeat Detail'!$A$6:$A$1005,"Quality",'Repeat Detail'!$H$6:$H$1005,"Date span")),SUMIFS('Repeat Detail'!$O$6:$O$1005,'Repeat Detail'!$A$6:$A$1005,"Quality",'Repeat Detail'!$H$6:$H$1005,"Last date"),NA()),"",A95+1))</x:f>
      </x:c>
      <x:c r="B96" s="20" t="str">
        <x:f>IF($A96="","",SUMIFS('Repeat Detail'!$I$6:$I$1005,'Repeat Detail'!$A$6:$A$1005,"Daily",'Repeat Detail'!$B$6:$B$1005,$A96))</x:f>
      </x:c>
      <x:c r="C96" s="20" t="str">
        <x:f>IF($A96="","",SUMIFS('Repeat Detail'!$J$6:$J$1005,'Repeat Detail'!$A$6:$A$1005,"Daily",'Repeat Detail'!$B$6:$B$1005,$A96))</x:f>
      </x:c>
      <x:c r="D96" s="20" t="str">
        <x:f>IF($A96="","",SUMIFS('Repeat Detail'!$K$6:$K$1005,'Repeat Detail'!$A$6:$A$1005,"Daily",'Repeat Detail'!$B$6:$B$1005,$A96))</x:f>
      </x:c>
      <x:c r="E96" s="20" t="str">
        <x:f>IF($A96="","",SUMIFS('Repeat Detail'!$L$6:$L$1005,'Repeat Detail'!$A$6:$A$1005,"Daily",'Repeat Detail'!$B$6:$B$1005,$A96))</x:f>
      </x:c>
      <x:c r="F96" s="22" t="str">
        <x:f>IF(A96="","",IF(D96=0,"n.a.",E96/D96))</x:f>
      </x:c>
      <x:c r="G96" s="20" t="str">
        <x:f>IF($A96="","",SUMIFS('Repeat Detail'!$M$6:$M$1005,'Repeat Detail'!$A$6:$A$1005,"Daily",'Repeat Detail'!$B$6:$B$1005,$A96))</x:f>
      </x:c>
      <x:c r="H96" s="22" t="str">
        <x:f>IF(A96="","",IF(C96=0,"n.a.",G96/C96))</x:f>
      </x:c>
      <x:c r="I96" s="20" t="str">
        <x:f>IF($A96="","",SUMIFS('Repeat Detail'!$N$6:$N$1005,'Repeat Detail'!$A$6:$A$1005,"Daily",'Repeat Detail'!$B$6:$B$1005,$A96))</x:f>
      </x:c>
      <x:c r="J96" s="20" t="str">
        <x:f>IF(A96="","",B96-C96)</x:f>
      </x:c>
    </x:row>
    <x:row r="97">
      <x:c r="A97" s="12" t="str">
        <x:f>IF(A96="","",IF(A96+1&gt;IF(AND(COUNTIF('Repeat Detail'!$A$6:$A$1005,"Quality")=21,COUNTIF('Repeat Detail'!$A$6:$A$1005,"Menu")=12,COUNTIF('Repeat Detail'!$A$6:$A$1005,"Daily")=SUMIFS('Repeat Detail'!$O$6:$O$1005,'Repeat Detail'!$A$6:$A$1005,"Quality",'Repeat Detail'!$H$6:$H$1005,"Date span")),SUMIFS('Repeat Detail'!$O$6:$O$1005,'Repeat Detail'!$A$6:$A$1005,"Quality",'Repeat Detail'!$H$6:$H$1005,"Last date"),NA()),"",A96+1))</x:f>
      </x:c>
      <x:c r="B97" s="20" t="str">
        <x:f>IF($A97="","",SUMIFS('Repeat Detail'!$I$6:$I$1005,'Repeat Detail'!$A$6:$A$1005,"Daily",'Repeat Detail'!$B$6:$B$1005,$A97))</x:f>
      </x:c>
      <x:c r="C97" s="20" t="str">
        <x:f>IF($A97="","",SUMIFS('Repeat Detail'!$J$6:$J$1005,'Repeat Detail'!$A$6:$A$1005,"Daily",'Repeat Detail'!$B$6:$B$1005,$A97))</x:f>
      </x:c>
      <x:c r="D97" s="20" t="str">
        <x:f>IF($A97="","",SUMIFS('Repeat Detail'!$K$6:$K$1005,'Repeat Detail'!$A$6:$A$1005,"Daily",'Repeat Detail'!$B$6:$B$1005,$A97))</x:f>
      </x:c>
      <x:c r="E97" s="20" t="str">
        <x:f>IF($A97="","",SUMIFS('Repeat Detail'!$L$6:$L$1005,'Repeat Detail'!$A$6:$A$1005,"Daily",'Repeat Detail'!$B$6:$B$1005,$A97))</x:f>
      </x:c>
      <x:c r="F97" s="22" t="str">
        <x:f>IF(A97="","",IF(D97=0,"n.a.",E97/D97))</x:f>
      </x:c>
      <x:c r="G97" s="20" t="str">
        <x:f>IF($A97="","",SUMIFS('Repeat Detail'!$M$6:$M$1005,'Repeat Detail'!$A$6:$A$1005,"Daily",'Repeat Detail'!$B$6:$B$1005,$A97))</x:f>
      </x:c>
      <x:c r="H97" s="22" t="str">
        <x:f>IF(A97="","",IF(C97=0,"n.a.",G97/C97))</x:f>
      </x:c>
      <x:c r="I97" s="20" t="str">
        <x:f>IF($A97="","",SUMIFS('Repeat Detail'!$N$6:$N$1005,'Repeat Detail'!$A$6:$A$1005,"Daily",'Repeat Detail'!$B$6:$B$1005,$A97))</x:f>
      </x:c>
      <x:c r="J97" s="20" t="str">
        <x:f>IF(A97="","",B97-C97)</x:f>
      </x:c>
    </x:row>
    <x:row r="98">
      <x:c r="A98" s="12" t="str">
        <x:f>IF(A97="","",IF(A97+1&gt;IF(AND(COUNTIF('Repeat Detail'!$A$6:$A$1005,"Quality")=21,COUNTIF('Repeat Detail'!$A$6:$A$1005,"Menu")=12,COUNTIF('Repeat Detail'!$A$6:$A$1005,"Daily")=SUMIFS('Repeat Detail'!$O$6:$O$1005,'Repeat Detail'!$A$6:$A$1005,"Quality",'Repeat Detail'!$H$6:$H$1005,"Date span")),SUMIFS('Repeat Detail'!$O$6:$O$1005,'Repeat Detail'!$A$6:$A$1005,"Quality",'Repeat Detail'!$H$6:$H$1005,"Last date"),NA()),"",A97+1))</x:f>
      </x:c>
      <x:c r="B98" s="20" t="str">
        <x:f>IF($A98="","",SUMIFS('Repeat Detail'!$I$6:$I$1005,'Repeat Detail'!$A$6:$A$1005,"Daily",'Repeat Detail'!$B$6:$B$1005,$A98))</x:f>
      </x:c>
      <x:c r="C98" s="20" t="str">
        <x:f>IF($A98="","",SUMIFS('Repeat Detail'!$J$6:$J$1005,'Repeat Detail'!$A$6:$A$1005,"Daily",'Repeat Detail'!$B$6:$B$1005,$A98))</x:f>
      </x:c>
      <x:c r="D98" s="20" t="str">
        <x:f>IF($A98="","",SUMIFS('Repeat Detail'!$K$6:$K$1005,'Repeat Detail'!$A$6:$A$1005,"Daily",'Repeat Detail'!$B$6:$B$1005,$A98))</x:f>
      </x:c>
      <x:c r="E98" s="20" t="str">
        <x:f>IF($A98="","",SUMIFS('Repeat Detail'!$L$6:$L$1005,'Repeat Detail'!$A$6:$A$1005,"Daily",'Repeat Detail'!$B$6:$B$1005,$A98))</x:f>
      </x:c>
      <x:c r="F98" s="22" t="str">
        <x:f>IF(A98="","",IF(D98=0,"n.a.",E98/D98))</x:f>
      </x:c>
      <x:c r="G98" s="20" t="str">
        <x:f>IF($A98="","",SUMIFS('Repeat Detail'!$M$6:$M$1005,'Repeat Detail'!$A$6:$A$1005,"Daily",'Repeat Detail'!$B$6:$B$1005,$A98))</x:f>
      </x:c>
      <x:c r="H98" s="22" t="str">
        <x:f>IF(A98="","",IF(C98=0,"n.a.",G98/C98))</x:f>
      </x:c>
      <x:c r="I98" s="20" t="str">
        <x:f>IF($A98="","",SUMIFS('Repeat Detail'!$N$6:$N$1005,'Repeat Detail'!$A$6:$A$1005,"Daily",'Repeat Detail'!$B$6:$B$1005,$A98))</x:f>
      </x:c>
      <x:c r="J98" s="20" t="str">
        <x:f>IF(A98="","",B98-C98)</x:f>
      </x:c>
    </x:row>
    <x:row r="99">
      <x:c r="A99" s="12" t="str">
        <x:f>IF(A98="","",IF(A98+1&gt;IF(AND(COUNTIF('Repeat Detail'!$A$6:$A$1005,"Quality")=21,COUNTIF('Repeat Detail'!$A$6:$A$1005,"Menu")=12,COUNTIF('Repeat Detail'!$A$6:$A$1005,"Daily")=SUMIFS('Repeat Detail'!$O$6:$O$1005,'Repeat Detail'!$A$6:$A$1005,"Quality",'Repeat Detail'!$H$6:$H$1005,"Date span")),SUMIFS('Repeat Detail'!$O$6:$O$1005,'Repeat Detail'!$A$6:$A$1005,"Quality",'Repeat Detail'!$H$6:$H$1005,"Last date"),NA()),"",A98+1))</x:f>
      </x:c>
      <x:c r="B99" s="20" t="str">
        <x:f>IF($A99="","",SUMIFS('Repeat Detail'!$I$6:$I$1005,'Repeat Detail'!$A$6:$A$1005,"Daily",'Repeat Detail'!$B$6:$B$1005,$A99))</x:f>
      </x:c>
      <x:c r="C99" s="20" t="str">
        <x:f>IF($A99="","",SUMIFS('Repeat Detail'!$J$6:$J$1005,'Repeat Detail'!$A$6:$A$1005,"Daily",'Repeat Detail'!$B$6:$B$1005,$A99))</x:f>
      </x:c>
      <x:c r="D99" s="20" t="str">
        <x:f>IF($A99="","",SUMIFS('Repeat Detail'!$K$6:$K$1005,'Repeat Detail'!$A$6:$A$1005,"Daily",'Repeat Detail'!$B$6:$B$1005,$A99))</x:f>
      </x:c>
      <x:c r="E99" s="20" t="str">
        <x:f>IF($A99="","",SUMIFS('Repeat Detail'!$L$6:$L$1005,'Repeat Detail'!$A$6:$A$1005,"Daily",'Repeat Detail'!$B$6:$B$1005,$A99))</x:f>
      </x:c>
      <x:c r="F99" s="22" t="str">
        <x:f>IF(A99="","",IF(D99=0,"n.a.",E99/D99))</x:f>
      </x:c>
      <x:c r="G99" s="20" t="str">
        <x:f>IF($A99="","",SUMIFS('Repeat Detail'!$M$6:$M$1005,'Repeat Detail'!$A$6:$A$1005,"Daily",'Repeat Detail'!$B$6:$B$1005,$A99))</x:f>
      </x:c>
      <x:c r="H99" s="22" t="str">
        <x:f>IF(A99="","",IF(C99=0,"n.a.",G99/C99))</x:f>
      </x:c>
      <x:c r="I99" s="20" t="str">
        <x:f>IF($A99="","",SUMIFS('Repeat Detail'!$N$6:$N$1005,'Repeat Detail'!$A$6:$A$1005,"Daily",'Repeat Detail'!$B$6:$B$1005,$A99))</x:f>
      </x:c>
      <x:c r="J99" s="20" t="str">
        <x:f>IF(A99="","",B99-C99)</x:f>
      </x:c>
    </x:row>
    <x:row r="100">
      <x:c r="A100" s="12" t="str">
        <x:f>IF(A99="","",IF(A99+1&gt;IF(AND(COUNTIF('Repeat Detail'!$A$6:$A$1005,"Quality")=21,COUNTIF('Repeat Detail'!$A$6:$A$1005,"Menu")=12,COUNTIF('Repeat Detail'!$A$6:$A$1005,"Daily")=SUMIFS('Repeat Detail'!$O$6:$O$1005,'Repeat Detail'!$A$6:$A$1005,"Quality",'Repeat Detail'!$H$6:$H$1005,"Date span")),SUMIFS('Repeat Detail'!$O$6:$O$1005,'Repeat Detail'!$A$6:$A$1005,"Quality",'Repeat Detail'!$H$6:$H$1005,"Last date"),NA()),"",A99+1))</x:f>
      </x:c>
      <x:c r="B100" s="20" t="str">
        <x:f>IF($A100="","",SUMIFS('Repeat Detail'!$I$6:$I$1005,'Repeat Detail'!$A$6:$A$1005,"Daily",'Repeat Detail'!$B$6:$B$1005,$A100))</x:f>
      </x:c>
      <x:c r="C100" s="20" t="str">
        <x:f>IF($A100="","",SUMIFS('Repeat Detail'!$J$6:$J$1005,'Repeat Detail'!$A$6:$A$1005,"Daily",'Repeat Detail'!$B$6:$B$1005,$A100))</x:f>
      </x:c>
      <x:c r="D100" s="20" t="str">
        <x:f>IF($A100="","",SUMIFS('Repeat Detail'!$K$6:$K$1005,'Repeat Detail'!$A$6:$A$1005,"Daily",'Repeat Detail'!$B$6:$B$1005,$A100))</x:f>
      </x:c>
      <x:c r="E100" s="20" t="str">
        <x:f>IF($A100="","",SUMIFS('Repeat Detail'!$L$6:$L$1005,'Repeat Detail'!$A$6:$A$1005,"Daily",'Repeat Detail'!$B$6:$B$1005,$A100))</x:f>
      </x:c>
      <x:c r="F100" s="22" t="str">
        <x:f>IF(A100="","",IF(D100=0,"n.a.",E100/D100))</x:f>
      </x:c>
      <x:c r="G100" s="20" t="str">
        <x:f>IF($A100="","",SUMIFS('Repeat Detail'!$M$6:$M$1005,'Repeat Detail'!$A$6:$A$1005,"Daily",'Repeat Detail'!$B$6:$B$1005,$A100))</x:f>
      </x:c>
      <x:c r="H100" s="22" t="str">
        <x:f>IF(A100="","",IF(C100=0,"n.a.",G100/C100))</x:f>
      </x:c>
      <x:c r="I100" s="20" t="str">
        <x:f>IF($A100="","",SUMIFS('Repeat Detail'!$N$6:$N$1005,'Repeat Detail'!$A$6:$A$1005,"Daily",'Repeat Detail'!$B$6:$B$1005,$A100))</x:f>
      </x:c>
      <x:c r="J100" s="20" t="str">
        <x:f>IF(A100="","",B100-C100)</x:f>
      </x:c>
    </x:row>
    <x:row r="101">
      <x:c r="A101" s="12" t="str">
        <x:f>IF(A100="","",IF(A100+1&gt;IF(AND(COUNTIF('Repeat Detail'!$A$6:$A$1005,"Quality")=21,COUNTIF('Repeat Detail'!$A$6:$A$1005,"Menu")=12,COUNTIF('Repeat Detail'!$A$6:$A$1005,"Daily")=SUMIFS('Repeat Detail'!$O$6:$O$1005,'Repeat Detail'!$A$6:$A$1005,"Quality",'Repeat Detail'!$H$6:$H$1005,"Date span")),SUMIFS('Repeat Detail'!$O$6:$O$1005,'Repeat Detail'!$A$6:$A$1005,"Quality",'Repeat Detail'!$H$6:$H$1005,"Last date"),NA()),"",A100+1))</x:f>
      </x:c>
      <x:c r="B101" s="20" t="str">
        <x:f>IF($A101="","",SUMIFS('Repeat Detail'!$I$6:$I$1005,'Repeat Detail'!$A$6:$A$1005,"Daily",'Repeat Detail'!$B$6:$B$1005,$A101))</x:f>
      </x:c>
      <x:c r="C101" s="20" t="str">
        <x:f>IF($A101="","",SUMIFS('Repeat Detail'!$J$6:$J$1005,'Repeat Detail'!$A$6:$A$1005,"Daily",'Repeat Detail'!$B$6:$B$1005,$A101))</x:f>
      </x:c>
      <x:c r="D101" s="20" t="str">
        <x:f>IF($A101="","",SUMIFS('Repeat Detail'!$K$6:$K$1005,'Repeat Detail'!$A$6:$A$1005,"Daily",'Repeat Detail'!$B$6:$B$1005,$A101))</x:f>
      </x:c>
      <x:c r="E101" s="20" t="str">
        <x:f>IF($A101="","",SUMIFS('Repeat Detail'!$L$6:$L$1005,'Repeat Detail'!$A$6:$A$1005,"Daily",'Repeat Detail'!$B$6:$B$1005,$A101))</x:f>
      </x:c>
      <x:c r="F101" s="22" t="str">
        <x:f>IF(A101="","",IF(D101=0,"n.a.",E101/D101))</x:f>
      </x:c>
      <x:c r="G101" s="20" t="str">
        <x:f>IF($A101="","",SUMIFS('Repeat Detail'!$M$6:$M$1005,'Repeat Detail'!$A$6:$A$1005,"Daily",'Repeat Detail'!$B$6:$B$1005,$A101))</x:f>
      </x:c>
      <x:c r="H101" s="22" t="str">
        <x:f>IF(A101="","",IF(C101=0,"n.a.",G101/C101))</x:f>
      </x:c>
      <x:c r="I101" s="20" t="str">
        <x:f>IF($A101="","",SUMIFS('Repeat Detail'!$N$6:$N$1005,'Repeat Detail'!$A$6:$A$1005,"Daily",'Repeat Detail'!$B$6:$B$1005,$A101))</x:f>
      </x:c>
      <x:c r="J101" s="20" t="str">
        <x:f>IF(A101="","",B101-C101)</x:f>
      </x:c>
    </x:row>
    <x:row r="102">
      <x:c r="A102" s="12" t="str">
        <x:f>IF(A101="","",IF(A101+1&gt;IF(AND(COUNTIF('Repeat Detail'!$A$6:$A$1005,"Quality")=21,COUNTIF('Repeat Detail'!$A$6:$A$1005,"Menu")=12,COUNTIF('Repeat Detail'!$A$6:$A$1005,"Daily")=SUMIFS('Repeat Detail'!$O$6:$O$1005,'Repeat Detail'!$A$6:$A$1005,"Quality",'Repeat Detail'!$H$6:$H$1005,"Date span")),SUMIFS('Repeat Detail'!$O$6:$O$1005,'Repeat Detail'!$A$6:$A$1005,"Quality",'Repeat Detail'!$H$6:$H$1005,"Last date"),NA()),"",A101+1))</x:f>
      </x:c>
      <x:c r="B102" s="20" t="str">
        <x:f>IF($A102="","",SUMIFS('Repeat Detail'!$I$6:$I$1005,'Repeat Detail'!$A$6:$A$1005,"Daily",'Repeat Detail'!$B$6:$B$1005,$A102))</x:f>
      </x:c>
      <x:c r="C102" s="20" t="str">
        <x:f>IF($A102="","",SUMIFS('Repeat Detail'!$J$6:$J$1005,'Repeat Detail'!$A$6:$A$1005,"Daily",'Repeat Detail'!$B$6:$B$1005,$A102))</x:f>
      </x:c>
      <x:c r="D102" s="20" t="str">
        <x:f>IF($A102="","",SUMIFS('Repeat Detail'!$K$6:$K$1005,'Repeat Detail'!$A$6:$A$1005,"Daily",'Repeat Detail'!$B$6:$B$1005,$A102))</x:f>
      </x:c>
      <x:c r="E102" s="20" t="str">
        <x:f>IF($A102="","",SUMIFS('Repeat Detail'!$L$6:$L$1005,'Repeat Detail'!$A$6:$A$1005,"Daily",'Repeat Detail'!$B$6:$B$1005,$A102))</x:f>
      </x:c>
      <x:c r="F102" s="22" t="str">
        <x:f>IF(A102="","",IF(D102=0,"n.a.",E102/D102))</x:f>
      </x:c>
      <x:c r="G102" s="20" t="str">
        <x:f>IF($A102="","",SUMIFS('Repeat Detail'!$M$6:$M$1005,'Repeat Detail'!$A$6:$A$1005,"Daily",'Repeat Detail'!$B$6:$B$1005,$A102))</x:f>
      </x:c>
      <x:c r="H102" s="22" t="str">
        <x:f>IF(A102="","",IF(C102=0,"n.a.",G102/C102))</x:f>
      </x:c>
      <x:c r="I102" s="20" t="str">
        <x:f>IF($A102="","",SUMIFS('Repeat Detail'!$N$6:$N$1005,'Repeat Detail'!$A$6:$A$1005,"Daily",'Repeat Detail'!$B$6:$B$1005,$A102))</x:f>
      </x:c>
      <x:c r="J102" s="20" t="str">
        <x:f>IF(A102="","",B102-C102)</x:f>
      </x:c>
    </x:row>
    <x:row r="103">
      <x:c r="A103" s="12" t="str">
        <x:f>IF(A102="","",IF(A102+1&gt;IF(AND(COUNTIF('Repeat Detail'!$A$6:$A$1005,"Quality")=21,COUNTIF('Repeat Detail'!$A$6:$A$1005,"Menu")=12,COUNTIF('Repeat Detail'!$A$6:$A$1005,"Daily")=SUMIFS('Repeat Detail'!$O$6:$O$1005,'Repeat Detail'!$A$6:$A$1005,"Quality",'Repeat Detail'!$H$6:$H$1005,"Date span")),SUMIFS('Repeat Detail'!$O$6:$O$1005,'Repeat Detail'!$A$6:$A$1005,"Quality",'Repeat Detail'!$H$6:$H$1005,"Last date"),NA()),"",A102+1))</x:f>
      </x:c>
      <x:c r="B103" s="20" t="str">
        <x:f>IF($A103="","",SUMIFS('Repeat Detail'!$I$6:$I$1005,'Repeat Detail'!$A$6:$A$1005,"Daily",'Repeat Detail'!$B$6:$B$1005,$A103))</x:f>
      </x:c>
      <x:c r="C103" s="20" t="str">
        <x:f>IF($A103="","",SUMIFS('Repeat Detail'!$J$6:$J$1005,'Repeat Detail'!$A$6:$A$1005,"Daily",'Repeat Detail'!$B$6:$B$1005,$A103))</x:f>
      </x:c>
      <x:c r="D103" s="20" t="str">
        <x:f>IF($A103="","",SUMIFS('Repeat Detail'!$K$6:$K$1005,'Repeat Detail'!$A$6:$A$1005,"Daily",'Repeat Detail'!$B$6:$B$1005,$A103))</x:f>
      </x:c>
      <x:c r="E103" s="20" t="str">
        <x:f>IF($A103="","",SUMIFS('Repeat Detail'!$L$6:$L$1005,'Repeat Detail'!$A$6:$A$1005,"Daily",'Repeat Detail'!$B$6:$B$1005,$A103))</x:f>
      </x:c>
      <x:c r="F103" s="22" t="str">
        <x:f>IF(A103="","",IF(D103=0,"n.a.",E103/D103))</x:f>
      </x:c>
      <x:c r="G103" s="20" t="str">
        <x:f>IF($A103="","",SUMIFS('Repeat Detail'!$M$6:$M$1005,'Repeat Detail'!$A$6:$A$1005,"Daily",'Repeat Detail'!$B$6:$B$1005,$A103))</x:f>
      </x:c>
      <x:c r="H103" s="22" t="str">
        <x:f>IF(A103="","",IF(C103=0,"n.a.",G103/C103))</x:f>
      </x:c>
      <x:c r="I103" s="20" t="str">
        <x:f>IF($A103="","",SUMIFS('Repeat Detail'!$N$6:$N$1005,'Repeat Detail'!$A$6:$A$1005,"Daily",'Repeat Detail'!$B$6:$B$1005,$A103))</x:f>
      </x:c>
      <x:c r="J103" s="20" t="str">
        <x:f>IF(A103="","",B103-C103)</x:f>
      </x:c>
    </x:row>
    <x:row r="104">
      <x:c r="A104" s="12" t="str">
        <x:f>IF(A103="","",IF(A103+1&gt;IF(AND(COUNTIF('Repeat Detail'!$A$6:$A$1005,"Quality")=21,COUNTIF('Repeat Detail'!$A$6:$A$1005,"Menu")=12,COUNTIF('Repeat Detail'!$A$6:$A$1005,"Daily")=SUMIFS('Repeat Detail'!$O$6:$O$1005,'Repeat Detail'!$A$6:$A$1005,"Quality",'Repeat Detail'!$H$6:$H$1005,"Date span")),SUMIFS('Repeat Detail'!$O$6:$O$1005,'Repeat Detail'!$A$6:$A$1005,"Quality",'Repeat Detail'!$H$6:$H$1005,"Last date"),NA()),"",A103+1))</x:f>
      </x:c>
      <x:c r="B104" s="20" t="str">
        <x:f>IF($A104="","",SUMIFS('Repeat Detail'!$I$6:$I$1005,'Repeat Detail'!$A$6:$A$1005,"Daily",'Repeat Detail'!$B$6:$B$1005,$A104))</x:f>
      </x:c>
      <x:c r="C104" s="20" t="str">
        <x:f>IF($A104="","",SUMIFS('Repeat Detail'!$J$6:$J$1005,'Repeat Detail'!$A$6:$A$1005,"Daily",'Repeat Detail'!$B$6:$B$1005,$A104))</x:f>
      </x:c>
      <x:c r="D104" s="20" t="str">
        <x:f>IF($A104="","",SUMIFS('Repeat Detail'!$K$6:$K$1005,'Repeat Detail'!$A$6:$A$1005,"Daily",'Repeat Detail'!$B$6:$B$1005,$A104))</x:f>
      </x:c>
      <x:c r="E104" s="20" t="str">
        <x:f>IF($A104="","",SUMIFS('Repeat Detail'!$L$6:$L$1005,'Repeat Detail'!$A$6:$A$1005,"Daily",'Repeat Detail'!$B$6:$B$1005,$A104))</x:f>
      </x:c>
      <x:c r="F104" s="22" t="str">
        <x:f>IF(A104="","",IF(D104=0,"n.a.",E104/D104))</x:f>
      </x:c>
      <x:c r="G104" s="20" t="str">
        <x:f>IF($A104="","",SUMIFS('Repeat Detail'!$M$6:$M$1005,'Repeat Detail'!$A$6:$A$1005,"Daily",'Repeat Detail'!$B$6:$B$1005,$A104))</x:f>
      </x:c>
      <x:c r="H104" s="22" t="str">
        <x:f>IF(A104="","",IF(C104=0,"n.a.",G104/C104))</x:f>
      </x:c>
      <x:c r="I104" s="20" t="str">
        <x:f>IF($A104="","",SUMIFS('Repeat Detail'!$N$6:$N$1005,'Repeat Detail'!$A$6:$A$1005,"Daily",'Repeat Detail'!$B$6:$B$1005,$A104))</x:f>
      </x:c>
      <x:c r="J104" s="20" t="str">
        <x:f>IF(A104="","",B104-C104)</x:f>
      </x:c>
    </x:row>
    <x:row r="105">
      <x:c r="A105" s="12" t="str">
        <x:f>IF(A104="","",IF(A104+1&gt;IF(AND(COUNTIF('Repeat Detail'!$A$6:$A$1005,"Quality")=21,COUNTIF('Repeat Detail'!$A$6:$A$1005,"Menu")=12,COUNTIF('Repeat Detail'!$A$6:$A$1005,"Daily")=SUMIFS('Repeat Detail'!$O$6:$O$1005,'Repeat Detail'!$A$6:$A$1005,"Quality",'Repeat Detail'!$H$6:$H$1005,"Date span")),SUMIFS('Repeat Detail'!$O$6:$O$1005,'Repeat Detail'!$A$6:$A$1005,"Quality",'Repeat Detail'!$H$6:$H$1005,"Last date"),NA()),"",A104+1))</x:f>
      </x:c>
      <x:c r="B105" s="20" t="str">
        <x:f>IF($A105="","",SUMIFS('Repeat Detail'!$I$6:$I$1005,'Repeat Detail'!$A$6:$A$1005,"Daily",'Repeat Detail'!$B$6:$B$1005,$A105))</x:f>
      </x:c>
      <x:c r="C105" s="20" t="str">
        <x:f>IF($A105="","",SUMIFS('Repeat Detail'!$J$6:$J$1005,'Repeat Detail'!$A$6:$A$1005,"Daily",'Repeat Detail'!$B$6:$B$1005,$A105))</x:f>
      </x:c>
      <x:c r="D105" s="20" t="str">
        <x:f>IF($A105="","",SUMIFS('Repeat Detail'!$K$6:$K$1005,'Repeat Detail'!$A$6:$A$1005,"Daily",'Repeat Detail'!$B$6:$B$1005,$A105))</x:f>
      </x:c>
      <x:c r="E105" s="20" t="str">
        <x:f>IF($A105="","",SUMIFS('Repeat Detail'!$L$6:$L$1005,'Repeat Detail'!$A$6:$A$1005,"Daily",'Repeat Detail'!$B$6:$B$1005,$A105))</x:f>
      </x:c>
      <x:c r="F105" s="22" t="str">
        <x:f>IF(A105="","",IF(D105=0,"n.a.",E105/D105))</x:f>
      </x:c>
      <x:c r="G105" s="20" t="str">
        <x:f>IF($A105="","",SUMIFS('Repeat Detail'!$M$6:$M$1005,'Repeat Detail'!$A$6:$A$1005,"Daily",'Repeat Detail'!$B$6:$B$1005,$A105))</x:f>
      </x:c>
      <x:c r="H105" s="22" t="str">
        <x:f>IF(A105="","",IF(C105=0,"n.a.",G105/C105))</x:f>
      </x:c>
      <x:c r="I105" s="20" t="str">
        <x:f>IF($A105="","",SUMIFS('Repeat Detail'!$N$6:$N$1005,'Repeat Detail'!$A$6:$A$1005,"Daily",'Repeat Detail'!$B$6:$B$1005,$A105))</x:f>
      </x:c>
      <x:c r="J105" s="20" t="str">
        <x:f>IF(A105="","",B105-C105)</x:f>
      </x:c>
    </x:row>
    <x:row r="106">
      <x:c r="A106" s="12" t="str">
        <x:f>IF(A105="","",IF(A105+1&gt;IF(AND(COUNTIF('Repeat Detail'!$A$6:$A$1005,"Quality")=21,COUNTIF('Repeat Detail'!$A$6:$A$1005,"Menu")=12,COUNTIF('Repeat Detail'!$A$6:$A$1005,"Daily")=SUMIFS('Repeat Detail'!$O$6:$O$1005,'Repeat Detail'!$A$6:$A$1005,"Quality",'Repeat Detail'!$H$6:$H$1005,"Date span")),SUMIFS('Repeat Detail'!$O$6:$O$1005,'Repeat Detail'!$A$6:$A$1005,"Quality",'Repeat Detail'!$H$6:$H$1005,"Last date"),NA()),"",A105+1))</x:f>
      </x:c>
      <x:c r="B106" s="20" t="str">
        <x:f>IF($A106="","",SUMIFS('Repeat Detail'!$I$6:$I$1005,'Repeat Detail'!$A$6:$A$1005,"Daily",'Repeat Detail'!$B$6:$B$1005,$A106))</x:f>
      </x:c>
      <x:c r="C106" s="20" t="str">
        <x:f>IF($A106="","",SUMIFS('Repeat Detail'!$J$6:$J$1005,'Repeat Detail'!$A$6:$A$1005,"Daily",'Repeat Detail'!$B$6:$B$1005,$A106))</x:f>
      </x:c>
      <x:c r="D106" s="20" t="str">
        <x:f>IF($A106="","",SUMIFS('Repeat Detail'!$K$6:$K$1005,'Repeat Detail'!$A$6:$A$1005,"Daily",'Repeat Detail'!$B$6:$B$1005,$A106))</x:f>
      </x:c>
      <x:c r="E106" s="20" t="str">
        <x:f>IF($A106="","",SUMIFS('Repeat Detail'!$L$6:$L$1005,'Repeat Detail'!$A$6:$A$1005,"Daily",'Repeat Detail'!$B$6:$B$1005,$A106))</x:f>
      </x:c>
      <x:c r="F106" s="22" t="str">
        <x:f>IF(A106="","",IF(D106=0,"n.a.",E106/D106))</x:f>
      </x:c>
      <x:c r="G106" s="20" t="str">
        <x:f>IF($A106="","",SUMIFS('Repeat Detail'!$M$6:$M$1005,'Repeat Detail'!$A$6:$A$1005,"Daily",'Repeat Detail'!$B$6:$B$1005,$A106))</x:f>
      </x:c>
      <x:c r="H106" s="22" t="str">
        <x:f>IF(A106="","",IF(C106=0,"n.a.",G106/C106))</x:f>
      </x:c>
      <x:c r="I106" s="20" t="str">
        <x:f>IF($A106="","",SUMIFS('Repeat Detail'!$N$6:$N$1005,'Repeat Detail'!$A$6:$A$1005,"Daily",'Repeat Detail'!$B$6:$B$1005,$A106))</x:f>
      </x:c>
      <x:c r="J106" s="20" t="str">
        <x:f>IF(A106="","",B106-C106)</x:f>
      </x:c>
    </x:row>
    <x:row r="107">
      <x:c r="A107" s="12" t="str">
        <x:f>IF(A106="","",IF(A106+1&gt;IF(AND(COUNTIF('Repeat Detail'!$A$6:$A$1005,"Quality")=21,COUNTIF('Repeat Detail'!$A$6:$A$1005,"Menu")=12,COUNTIF('Repeat Detail'!$A$6:$A$1005,"Daily")=SUMIFS('Repeat Detail'!$O$6:$O$1005,'Repeat Detail'!$A$6:$A$1005,"Quality",'Repeat Detail'!$H$6:$H$1005,"Date span")),SUMIFS('Repeat Detail'!$O$6:$O$1005,'Repeat Detail'!$A$6:$A$1005,"Quality",'Repeat Detail'!$H$6:$H$1005,"Last date"),NA()),"",A106+1))</x:f>
      </x:c>
      <x:c r="B107" s="20" t="str">
        <x:f>IF($A107="","",SUMIFS('Repeat Detail'!$I$6:$I$1005,'Repeat Detail'!$A$6:$A$1005,"Daily",'Repeat Detail'!$B$6:$B$1005,$A107))</x:f>
      </x:c>
      <x:c r="C107" s="20" t="str">
        <x:f>IF($A107="","",SUMIFS('Repeat Detail'!$J$6:$J$1005,'Repeat Detail'!$A$6:$A$1005,"Daily",'Repeat Detail'!$B$6:$B$1005,$A107))</x:f>
      </x:c>
      <x:c r="D107" s="20" t="str">
        <x:f>IF($A107="","",SUMIFS('Repeat Detail'!$K$6:$K$1005,'Repeat Detail'!$A$6:$A$1005,"Daily",'Repeat Detail'!$B$6:$B$1005,$A107))</x:f>
      </x:c>
      <x:c r="E107" s="20" t="str">
        <x:f>IF($A107="","",SUMIFS('Repeat Detail'!$L$6:$L$1005,'Repeat Detail'!$A$6:$A$1005,"Daily",'Repeat Detail'!$B$6:$B$1005,$A107))</x:f>
      </x:c>
      <x:c r="F107" s="22" t="str">
        <x:f>IF(A107="","",IF(D107=0,"n.a.",E107/D107))</x:f>
      </x:c>
      <x:c r="G107" s="20" t="str">
        <x:f>IF($A107="","",SUMIFS('Repeat Detail'!$M$6:$M$1005,'Repeat Detail'!$A$6:$A$1005,"Daily",'Repeat Detail'!$B$6:$B$1005,$A107))</x:f>
      </x:c>
      <x:c r="H107" s="22" t="str">
        <x:f>IF(A107="","",IF(C107=0,"n.a.",G107/C107))</x:f>
      </x:c>
      <x:c r="I107" s="20" t="str">
        <x:f>IF($A107="","",SUMIFS('Repeat Detail'!$N$6:$N$1005,'Repeat Detail'!$A$6:$A$1005,"Daily",'Repeat Detail'!$B$6:$B$1005,$A107))</x:f>
      </x:c>
      <x:c r="J107" s="20" t="str">
        <x:f>IF(A107="","",B107-C107)</x:f>
      </x:c>
    </x:row>
    <x:row r="108">
      <x:c r="A108" s="12" t="str">
        <x:f>IF(A107="","",IF(A107+1&gt;IF(AND(COUNTIF('Repeat Detail'!$A$6:$A$1005,"Quality")=21,COUNTIF('Repeat Detail'!$A$6:$A$1005,"Menu")=12,COUNTIF('Repeat Detail'!$A$6:$A$1005,"Daily")=SUMIFS('Repeat Detail'!$O$6:$O$1005,'Repeat Detail'!$A$6:$A$1005,"Quality",'Repeat Detail'!$H$6:$H$1005,"Date span")),SUMIFS('Repeat Detail'!$O$6:$O$1005,'Repeat Detail'!$A$6:$A$1005,"Quality",'Repeat Detail'!$H$6:$H$1005,"Last date"),NA()),"",A107+1))</x:f>
      </x:c>
      <x:c r="B108" s="20" t="str">
        <x:f>IF($A108="","",SUMIFS('Repeat Detail'!$I$6:$I$1005,'Repeat Detail'!$A$6:$A$1005,"Daily",'Repeat Detail'!$B$6:$B$1005,$A108))</x:f>
      </x:c>
      <x:c r="C108" s="20" t="str">
        <x:f>IF($A108="","",SUMIFS('Repeat Detail'!$J$6:$J$1005,'Repeat Detail'!$A$6:$A$1005,"Daily",'Repeat Detail'!$B$6:$B$1005,$A108))</x:f>
      </x:c>
      <x:c r="D108" s="20" t="str">
        <x:f>IF($A108="","",SUMIFS('Repeat Detail'!$K$6:$K$1005,'Repeat Detail'!$A$6:$A$1005,"Daily",'Repeat Detail'!$B$6:$B$1005,$A108))</x:f>
      </x:c>
      <x:c r="E108" s="20" t="str">
        <x:f>IF($A108="","",SUMIFS('Repeat Detail'!$L$6:$L$1005,'Repeat Detail'!$A$6:$A$1005,"Daily",'Repeat Detail'!$B$6:$B$1005,$A108))</x:f>
      </x:c>
      <x:c r="F108" s="22" t="str">
        <x:f>IF(A108="","",IF(D108=0,"n.a.",E108/D108))</x:f>
      </x:c>
      <x:c r="G108" s="20" t="str">
        <x:f>IF($A108="","",SUMIFS('Repeat Detail'!$M$6:$M$1005,'Repeat Detail'!$A$6:$A$1005,"Daily",'Repeat Detail'!$B$6:$B$1005,$A108))</x:f>
      </x:c>
      <x:c r="H108" s="22" t="str">
        <x:f>IF(A108="","",IF(C108=0,"n.a.",G108/C108))</x:f>
      </x:c>
      <x:c r="I108" s="20" t="str">
        <x:f>IF($A108="","",SUMIFS('Repeat Detail'!$N$6:$N$1005,'Repeat Detail'!$A$6:$A$1005,"Daily",'Repeat Detail'!$B$6:$B$1005,$A108))</x:f>
      </x:c>
      <x:c r="J108" s="20" t="str">
        <x:f>IF(A108="","",B108-C108)</x:f>
      </x:c>
    </x:row>
    <x:row r="109">
      <x:c r="A109" s="12" t="str">
        <x:f>IF(A108="","",IF(A108+1&gt;IF(AND(COUNTIF('Repeat Detail'!$A$6:$A$1005,"Quality")=21,COUNTIF('Repeat Detail'!$A$6:$A$1005,"Menu")=12,COUNTIF('Repeat Detail'!$A$6:$A$1005,"Daily")=SUMIFS('Repeat Detail'!$O$6:$O$1005,'Repeat Detail'!$A$6:$A$1005,"Quality",'Repeat Detail'!$H$6:$H$1005,"Date span")),SUMIFS('Repeat Detail'!$O$6:$O$1005,'Repeat Detail'!$A$6:$A$1005,"Quality",'Repeat Detail'!$H$6:$H$1005,"Last date"),NA()),"",A108+1))</x:f>
      </x:c>
      <x:c r="B109" s="20" t="str">
        <x:f>IF($A109="","",SUMIFS('Repeat Detail'!$I$6:$I$1005,'Repeat Detail'!$A$6:$A$1005,"Daily",'Repeat Detail'!$B$6:$B$1005,$A109))</x:f>
      </x:c>
      <x:c r="C109" s="20" t="str">
        <x:f>IF($A109="","",SUMIFS('Repeat Detail'!$J$6:$J$1005,'Repeat Detail'!$A$6:$A$1005,"Daily",'Repeat Detail'!$B$6:$B$1005,$A109))</x:f>
      </x:c>
      <x:c r="D109" s="20" t="str">
        <x:f>IF($A109="","",SUMIFS('Repeat Detail'!$K$6:$K$1005,'Repeat Detail'!$A$6:$A$1005,"Daily",'Repeat Detail'!$B$6:$B$1005,$A109))</x:f>
      </x:c>
      <x:c r="E109" s="20" t="str">
        <x:f>IF($A109="","",SUMIFS('Repeat Detail'!$L$6:$L$1005,'Repeat Detail'!$A$6:$A$1005,"Daily",'Repeat Detail'!$B$6:$B$1005,$A109))</x:f>
      </x:c>
      <x:c r="F109" s="22" t="str">
        <x:f>IF(A109="","",IF(D109=0,"n.a.",E109/D109))</x:f>
      </x:c>
      <x:c r="G109" s="20" t="str">
        <x:f>IF($A109="","",SUMIFS('Repeat Detail'!$M$6:$M$1005,'Repeat Detail'!$A$6:$A$1005,"Daily",'Repeat Detail'!$B$6:$B$1005,$A109))</x:f>
      </x:c>
      <x:c r="H109" s="22" t="str">
        <x:f>IF(A109="","",IF(C109=0,"n.a.",G109/C109))</x:f>
      </x:c>
      <x:c r="I109" s="20" t="str">
        <x:f>IF($A109="","",SUMIFS('Repeat Detail'!$N$6:$N$1005,'Repeat Detail'!$A$6:$A$1005,"Daily",'Repeat Detail'!$B$6:$B$1005,$A109))</x:f>
      </x:c>
      <x:c r="J109" s="20" t="str">
        <x:f>IF(A109="","",B109-C109)</x:f>
      </x:c>
    </x:row>
    <x:row r="110">
      <x:c r="A110" s="12" t="str">
        <x:f>IF(A109="","",IF(A109+1&gt;IF(AND(COUNTIF('Repeat Detail'!$A$6:$A$1005,"Quality")=21,COUNTIF('Repeat Detail'!$A$6:$A$1005,"Menu")=12,COUNTIF('Repeat Detail'!$A$6:$A$1005,"Daily")=SUMIFS('Repeat Detail'!$O$6:$O$1005,'Repeat Detail'!$A$6:$A$1005,"Quality",'Repeat Detail'!$H$6:$H$1005,"Date span")),SUMIFS('Repeat Detail'!$O$6:$O$1005,'Repeat Detail'!$A$6:$A$1005,"Quality",'Repeat Detail'!$H$6:$H$1005,"Last date"),NA()),"",A109+1))</x:f>
      </x:c>
      <x:c r="B110" s="20" t="str">
        <x:f>IF($A110="","",SUMIFS('Repeat Detail'!$I$6:$I$1005,'Repeat Detail'!$A$6:$A$1005,"Daily",'Repeat Detail'!$B$6:$B$1005,$A110))</x:f>
      </x:c>
      <x:c r="C110" s="20" t="str">
        <x:f>IF($A110="","",SUMIFS('Repeat Detail'!$J$6:$J$1005,'Repeat Detail'!$A$6:$A$1005,"Daily",'Repeat Detail'!$B$6:$B$1005,$A110))</x:f>
      </x:c>
      <x:c r="D110" s="20" t="str">
        <x:f>IF($A110="","",SUMIFS('Repeat Detail'!$K$6:$K$1005,'Repeat Detail'!$A$6:$A$1005,"Daily",'Repeat Detail'!$B$6:$B$1005,$A110))</x:f>
      </x:c>
      <x:c r="E110" s="20" t="str">
        <x:f>IF($A110="","",SUMIFS('Repeat Detail'!$L$6:$L$1005,'Repeat Detail'!$A$6:$A$1005,"Daily",'Repeat Detail'!$B$6:$B$1005,$A110))</x:f>
      </x:c>
      <x:c r="F110" s="22" t="str">
        <x:f>IF(A110="","",IF(D110=0,"n.a.",E110/D110))</x:f>
      </x:c>
      <x:c r="G110" s="20" t="str">
        <x:f>IF($A110="","",SUMIFS('Repeat Detail'!$M$6:$M$1005,'Repeat Detail'!$A$6:$A$1005,"Daily",'Repeat Detail'!$B$6:$B$1005,$A110))</x:f>
      </x:c>
      <x:c r="H110" s="22" t="str">
        <x:f>IF(A110="","",IF(C110=0,"n.a.",G110/C110))</x:f>
      </x:c>
      <x:c r="I110" s="20" t="str">
        <x:f>IF($A110="","",SUMIFS('Repeat Detail'!$N$6:$N$1005,'Repeat Detail'!$A$6:$A$1005,"Daily",'Repeat Detail'!$B$6:$B$1005,$A110))</x:f>
      </x:c>
      <x:c r="J110" s="20" t="str">
        <x:f>IF(A110="","",B110-C110)</x:f>
      </x:c>
    </x:row>
    <x:row r="111">
      <x:c r="A111" s="12" t="str">
        <x:f>IF(A110="","",IF(A110+1&gt;IF(AND(COUNTIF('Repeat Detail'!$A$6:$A$1005,"Quality")=21,COUNTIF('Repeat Detail'!$A$6:$A$1005,"Menu")=12,COUNTIF('Repeat Detail'!$A$6:$A$1005,"Daily")=SUMIFS('Repeat Detail'!$O$6:$O$1005,'Repeat Detail'!$A$6:$A$1005,"Quality",'Repeat Detail'!$H$6:$H$1005,"Date span")),SUMIFS('Repeat Detail'!$O$6:$O$1005,'Repeat Detail'!$A$6:$A$1005,"Quality",'Repeat Detail'!$H$6:$H$1005,"Last date"),NA()),"",A110+1))</x:f>
      </x:c>
      <x:c r="B111" s="20" t="str">
        <x:f>IF($A111="","",SUMIFS('Repeat Detail'!$I$6:$I$1005,'Repeat Detail'!$A$6:$A$1005,"Daily",'Repeat Detail'!$B$6:$B$1005,$A111))</x:f>
      </x:c>
      <x:c r="C111" s="20" t="str">
        <x:f>IF($A111="","",SUMIFS('Repeat Detail'!$J$6:$J$1005,'Repeat Detail'!$A$6:$A$1005,"Daily",'Repeat Detail'!$B$6:$B$1005,$A111))</x:f>
      </x:c>
      <x:c r="D111" s="20" t="str">
        <x:f>IF($A111="","",SUMIFS('Repeat Detail'!$K$6:$K$1005,'Repeat Detail'!$A$6:$A$1005,"Daily",'Repeat Detail'!$B$6:$B$1005,$A111))</x:f>
      </x:c>
      <x:c r="E111" s="20" t="str">
        <x:f>IF($A111="","",SUMIFS('Repeat Detail'!$L$6:$L$1005,'Repeat Detail'!$A$6:$A$1005,"Daily",'Repeat Detail'!$B$6:$B$1005,$A111))</x:f>
      </x:c>
      <x:c r="F111" s="22" t="str">
        <x:f>IF(A111="","",IF(D111=0,"n.a.",E111/D111))</x:f>
      </x:c>
      <x:c r="G111" s="20" t="str">
        <x:f>IF($A111="","",SUMIFS('Repeat Detail'!$M$6:$M$1005,'Repeat Detail'!$A$6:$A$1005,"Daily",'Repeat Detail'!$B$6:$B$1005,$A111))</x:f>
      </x:c>
      <x:c r="H111" s="22" t="str">
        <x:f>IF(A111="","",IF(C111=0,"n.a.",G111/C111))</x:f>
      </x:c>
      <x:c r="I111" s="20" t="str">
        <x:f>IF($A111="","",SUMIFS('Repeat Detail'!$N$6:$N$1005,'Repeat Detail'!$A$6:$A$1005,"Daily",'Repeat Detail'!$B$6:$B$1005,$A111))</x:f>
      </x:c>
      <x:c r="J111" s="20" t="str">
        <x:f>IF(A111="","",B111-C111)</x:f>
      </x:c>
    </x:row>
    <x:row r="112">
      <x:c r="A112" s="12" t="str">
        <x:f>IF(A111="","",IF(A111+1&gt;IF(AND(COUNTIF('Repeat Detail'!$A$6:$A$1005,"Quality")=21,COUNTIF('Repeat Detail'!$A$6:$A$1005,"Menu")=12,COUNTIF('Repeat Detail'!$A$6:$A$1005,"Daily")=SUMIFS('Repeat Detail'!$O$6:$O$1005,'Repeat Detail'!$A$6:$A$1005,"Quality",'Repeat Detail'!$H$6:$H$1005,"Date span")),SUMIFS('Repeat Detail'!$O$6:$O$1005,'Repeat Detail'!$A$6:$A$1005,"Quality",'Repeat Detail'!$H$6:$H$1005,"Last date"),NA()),"",A111+1))</x:f>
      </x:c>
      <x:c r="B112" s="20" t="str">
        <x:f>IF($A112="","",SUMIFS('Repeat Detail'!$I$6:$I$1005,'Repeat Detail'!$A$6:$A$1005,"Daily",'Repeat Detail'!$B$6:$B$1005,$A112))</x:f>
      </x:c>
      <x:c r="C112" s="20" t="str">
        <x:f>IF($A112="","",SUMIFS('Repeat Detail'!$J$6:$J$1005,'Repeat Detail'!$A$6:$A$1005,"Daily",'Repeat Detail'!$B$6:$B$1005,$A112))</x:f>
      </x:c>
      <x:c r="D112" s="20" t="str">
        <x:f>IF($A112="","",SUMIFS('Repeat Detail'!$K$6:$K$1005,'Repeat Detail'!$A$6:$A$1005,"Daily",'Repeat Detail'!$B$6:$B$1005,$A112))</x:f>
      </x:c>
      <x:c r="E112" s="20" t="str">
        <x:f>IF($A112="","",SUMIFS('Repeat Detail'!$L$6:$L$1005,'Repeat Detail'!$A$6:$A$1005,"Daily",'Repeat Detail'!$B$6:$B$1005,$A112))</x:f>
      </x:c>
      <x:c r="F112" s="22" t="str">
        <x:f>IF(A112="","",IF(D112=0,"n.a.",E112/D112))</x:f>
      </x:c>
      <x:c r="G112" s="20" t="str">
        <x:f>IF($A112="","",SUMIFS('Repeat Detail'!$M$6:$M$1005,'Repeat Detail'!$A$6:$A$1005,"Daily",'Repeat Detail'!$B$6:$B$1005,$A112))</x:f>
      </x:c>
      <x:c r="H112" s="22" t="str">
        <x:f>IF(A112="","",IF(C112=0,"n.a.",G112/C112))</x:f>
      </x:c>
      <x:c r="I112" s="20" t="str">
        <x:f>IF($A112="","",SUMIFS('Repeat Detail'!$N$6:$N$1005,'Repeat Detail'!$A$6:$A$1005,"Daily",'Repeat Detail'!$B$6:$B$1005,$A112))</x:f>
      </x:c>
      <x:c r="J112" s="20" t="str">
        <x:f>IF(A112="","",B112-C112)</x:f>
      </x:c>
    </x:row>
    <x:row r="113">
      <x:c r="A113" s="12" t="str">
        <x:f>IF(A112="","",IF(A112+1&gt;IF(AND(COUNTIF('Repeat Detail'!$A$6:$A$1005,"Quality")=21,COUNTIF('Repeat Detail'!$A$6:$A$1005,"Menu")=12,COUNTIF('Repeat Detail'!$A$6:$A$1005,"Daily")=SUMIFS('Repeat Detail'!$O$6:$O$1005,'Repeat Detail'!$A$6:$A$1005,"Quality",'Repeat Detail'!$H$6:$H$1005,"Date span")),SUMIFS('Repeat Detail'!$O$6:$O$1005,'Repeat Detail'!$A$6:$A$1005,"Quality",'Repeat Detail'!$H$6:$H$1005,"Last date"),NA()),"",A112+1))</x:f>
      </x:c>
      <x:c r="B113" s="20" t="str">
        <x:f>IF($A113="","",SUMIFS('Repeat Detail'!$I$6:$I$1005,'Repeat Detail'!$A$6:$A$1005,"Daily",'Repeat Detail'!$B$6:$B$1005,$A113))</x:f>
      </x:c>
      <x:c r="C113" s="20" t="str">
        <x:f>IF($A113="","",SUMIFS('Repeat Detail'!$J$6:$J$1005,'Repeat Detail'!$A$6:$A$1005,"Daily",'Repeat Detail'!$B$6:$B$1005,$A113))</x:f>
      </x:c>
      <x:c r="D113" s="20" t="str">
        <x:f>IF($A113="","",SUMIFS('Repeat Detail'!$K$6:$K$1005,'Repeat Detail'!$A$6:$A$1005,"Daily",'Repeat Detail'!$B$6:$B$1005,$A113))</x:f>
      </x:c>
      <x:c r="E113" s="20" t="str">
        <x:f>IF($A113="","",SUMIFS('Repeat Detail'!$L$6:$L$1005,'Repeat Detail'!$A$6:$A$1005,"Daily",'Repeat Detail'!$B$6:$B$1005,$A113))</x:f>
      </x:c>
      <x:c r="F113" s="22" t="str">
        <x:f>IF(A113="","",IF(D113=0,"n.a.",E113/D113))</x:f>
      </x:c>
      <x:c r="G113" s="20" t="str">
        <x:f>IF($A113="","",SUMIFS('Repeat Detail'!$M$6:$M$1005,'Repeat Detail'!$A$6:$A$1005,"Daily",'Repeat Detail'!$B$6:$B$1005,$A113))</x:f>
      </x:c>
      <x:c r="H113" s="22" t="str">
        <x:f>IF(A113="","",IF(C113=0,"n.a.",G113/C113))</x:f>
      </x:c>
      <x:c r="I113" s="20" t="str">
        <x:f>IF($A113="","",SUMIFS('Repeat Detail'!$N$6:$N$1005,'Repeat Detail'!$A$6:$A$1005,"Daily",'Repeat Detail'!$B$6:$B$1005,$A113))</x:f>
      </x:c>
      <x:c r="J113" s="20" t="str">
        <x:f>IF(A113="","",B113-C113)</x:f>
      </x:c>
    </x:row>
    <x:row r="114">
      <x:c r="A114" s="12" t="str">
        <x:f>IF(A113="","",IF(A113+1&gt;IF(AND(COUNTIF('Repeat Detail'!$A$6:$A$1005,"Quality")=21,COUNTIF('Repeat Detail'!$A$6:$A$1005,"Menu")=12,COUNTIF('Repeat Detail'!$A$6:$A$1005,"Daily")=SUMIFS('Repeat Detail'!$O$6:$O$1005,'Repeat Detail'!$A$6:$A$1005,"Quality",'Repeat Detail'!$H$6:$H$1005,"Date span")),SUMIFS('Repeat Detail'!$O$6:$O$1005,'Repeat Detail'!$A$6:$A$1005,"Quality",'Repeat Detail'!$H$6:$H$1005,"Last date"),NA()),"",A113+1))</x:f>
      </x:c>
      <x:c r="B114" s="20" t="str">
        <x:f>IF($A114="","",SUMIFS('Repeat Detail'!$I$6:$I$1005,'Repeat Detail'!$A$6:$A$1005,"Daily",'Repeat Detail'!$B$6:$B$1005,$A114))</x:f>
      </x:c>
      <x:c r="C114" s="20" t="str">
        <x:f>IF($A114="","",SUMIFS('Repeat Detail'!$J$6:$J$1005,'Repeat Detail'!$A$6:$A$1005,"Daily",'Repeat Detail'!$B$6:$B$1005,$A114))</x:f>
      </x:c>
      <x:c r="D114" s="20" t="str">
        <x:f>IF($A114="","",SUMIFS('Repeat Detail'!$K$6:$K$1005,'Repeat Detail'!$A$6:$A$1005,"Daily",'Repeat Detail'!$B$6:$B$1005,$A114))</x:f>
      </x:c>
      <x:c r="E114" s="20" t="str">
        <x:f>IF($A114="","",SUMIFS('Repeat Detail'!$L$6:$L$1005,'Repeat Detail'!$A$6:$A$1005,"Daily",'Repeat Detail'!$B$6:$B$1005,$A114))</x:f>
      </x:c>
      <x:c r="F114" s="22" t="str">
        <x:f>IF(A114="","",IF(D114=0,"n.a.",E114/D114))</x:f>
      </x:c>
      <x:c r="G114" s="20" t="str">
        <x:f>IF($A114="","",SUMIFS('Repeat Detail'!$M$6:$M$1005,'Repeat Detail'!$A$6:$A$1005,"Daily",'Repeat Detail'!$B$6:$B$1005,$A114))</x:f>
      </x:c>
      <x:c r="H114" s="22" t="str">
        <x:f>IF(A114="","",IF(C114=0,"n.a.",G114/C114))</x:f>
      </x:c>
      <x:c r="I114" s="20" t="str">
        <x:f>IF($A114="","",SUMIFS('Repeat Detail'!$N$6:$N$1005,'Repeat Detail'!$A$6:$A$1005,"Daily",'Repeat Detail'!$B$6:$B$1005,$A114))</x:f>
      </x:c>
      <x:c r="J114" s="20" t="str">
        <x:f>IF(A114="","",B114-C114)</x:f>
      </x:c>
    </x:row>
    <x:row r="115">
      <x:c r="A115" s="12" t="str">
        <x:f>IF(A114="","",IF(A114+1&gt;IF(AND(COUNTIF('Repeat Detail'!$A$6:$A$1005,"Quality")=21,COUNTIF('Repeat Detail'!$A$6:$A$1005,"Menu")=12,COUNTIF('Repeat Detail'!$A$6:$A$1005,"Daily")=SUMIFS('Repeat Detail'!$O$6:$O$1005,'Repeat Detail'!$A$6:$A$1005,"Quality",'Repeat Detail'!$H$6:$H$1005,"Date span")),SUMIFS('Repeat Detail'!$O$6:$O$1005,'Repeat Detail'!$A$6:$A$1005,"Quality",'Repeat Detail'!$H$6:$H$1005,"Last date"),NA()),"",A114+1))</x:f>
      </x:c>
      <x:c r="B115" s="20" t="str">
        <x:f>IF($A115="","",SUMIFS('Repeat Detail'!$I$6:$I$1005,'Repeat Detail'!$A$6:$A$1005,"Daily",'Repeat Detail'!$B$6:$B$1005,$A115))</x:f>
      </x:c>
      <x:c r="C115" s="20" t="str">
        <x:f>IF($A115="","",SUMIFS('Repeat Detail'!$J$6:$J$1005,'Repeat Detail'!$A$6:$A$1005,"Daily",'Repeat Detail'!$B$6:$B$1005,$A115))</x:f>
      </x:c>
      <x:c r="D115" s="20" t="str">
        <x:f>IF($A115="","",SUMIFS('Repeat Detail'!$K$6:$K$1005,'Repeat Detail'!$A$6:$A$1005,"Daily",'Repeat Detail'!$B$6:$B$1005,$A115))</x:f>
      </x:c>
      <x:c r="E115" s="20" t="str">
        <x:f>IF($A115="","",SUMIFS('Repeat Detail'!$L$6:$L$1005,'Repeat Detail'!$A$6:$A$1005,"Daily",'Repeat Detail'!$B$6:$B$1005,$A115))</x:f>
      </x:c>
      <x:c r="F115" s="22" t="str">
        <x:f>IF(A115="","",IF(D115=0,"n.a.",E115/D115))</x:f>
      </x:c>
      <x:c r="G115" s="20" t="str">
        <x:f>IF($A115="","",SUMIFS('Repeat Detail'!$M$6:$M$1005,'Repeat Detail'!$A$6:$A$1005,"Daily",'Repeat Detail'!$B$6:$B$1005,$A115))</x:f>
      </x:c>
      <x:c r="H115" s="22" t="str">
        <x:f>IF(A115="","",IF(C115=0,"n.a.",G115/C115))</x:f>
      </x:c>
      <x:c r="I115" s="20" t="str">
        <x:f>IF($A115="","",SUMIFS('Repeat Detail'!$N$6:$N$1005,'Repeat Detail'!$A$6:$A$1005,"Daily",'Repeat Detail'!$B$6:$B$1005,$A115))</x:f>
      </x:c>
      <x:c r="J115" s="20" t="str">
        <x:f>IF(A115="","",B115-C115)</x:f>
      </x:c>
    </x:row>
    <x:row r="116">
      <x:c r="A116" s="12" t="str">
        <x:f>IF(A115="","",IF(A115+1&gt;IF(AND(COUNTIF('Repeat Detail'!$A$6:$A$1005,"Quality")=21,COUNTIF('Repeat Detail'!$A$6:$A$1005,"Menu")=12,COUNTIF('Repeat Detail'!$A$6:$A$1005,"Daily")=SUMIFS('Repeat Detail'!$O$6:$O$1005,'Repeat Detail'!$A$6:$A$1005,"Quality",'Repeat Detail'!$H$6:$H$1005,"Date span")),SUMIFS('Repeat Detail'!$O$6:$O$1005,'Repeat Detail'!$A$6:$A$1005,"Quality",'Repeat Detail'!$H$6:$H$1005,"Last date"),NA()),"",A115+1))</x:f>
      </x:c>
      <x:c r="B116" s="20" t="str">
        <x:f>IF($A116="","",SUMIFS('Repeat Detail'!$I$6:$I$1005,'Repeat Detail'!$A$6:$A$1005,"Daily",'Repeat Detail'!$B$6:$B$1005,$A116))</x:f>
      </x:c>
      <x:c r="C116" s="20" t="str">
        <x:f>IF($A116="","",SUMIFS('Repeat Detail'!$J$6:$J$1005,'Repeat Detail'!$A$6:$A$1005,"Daily",'Repeat Detail'!$B$6:$B$1005,$A116))</x:f>
      </x:c>
      <x:c r="D116" s="20" t="str">
        <x:f>IF($A116="","",SUMIFS('Repeat Detail'!$K$6:$K$1005,'Repeat Detail'!$A$6:$A$1005,"Daily",'Repeat Detail'!$B$6:$B$1005,$A116))</x:f>
      </x:c>
      <x:c r="E116" s="20" t="str">
        <x:f>IF($A116="","",SUMIFS('Repeat Detail'!$L$6:$L$1005,'Repeat Detail'!$A$6:$A$1005,"Daily",'Repeat Detail'!$B$6:$B$1005,$A116))</x:f>
      </x:c>
      <x:c r="F116" s="22" t="str">
        <x:f>IF(A116="","",IF(D116=0,"n.a.",E116/D116))</x:f>
      </x:c>
      <x:c r="G116" s="20" t="str">
        <x:f>IF($A116="","",SUMIFS('Repeat Detail'!$M$6:$M$1005,'Repeat Detail'!$A$6:$A$1005,"Daily",'Repeat Detail'!$B$6:$B$1005,$A116))</x:f>
      </x:c>
      <x:c r="H116" s="22" t="str">
        <x:f>IF(A116="","",IF(C116=0,"n.a.",G116/C116))</x:f>
      </x:c>
      <x:c r="I116" s="20" t="str">
        <x:f>IF($A116="","",SUMIFS('Repeat Detail'!$N$6:$N$1005,'Repeat Detail'!$A$6:$A$1005,"Daily",'Repeat Detail'!$B$6:$B$1005,$A116))</x:f>
      </x:c>
      <x:c r="J116" s="20" t="str">
        <x:f>IF(A116="","",B116-C116)</x:f>
      </x:c>
    </x:row>
    <x:row r="117">
      <x:c r="A117" s="12" t="str">
        <x:f>IF(A116="","",IF(A116+1&gt;IF(AND(COUNTIF('Repeat Detail'!$A$6:$A$1005,"Quality")=21,COUNTIF('Repeat Detail'!$A$6:$A$1005,"Menu")=12,COUNTIF('Repeat Detail'!$A$6:$A$1005,"Daily")=SUMIFS('Repeat Detail'!$O$6:$O$1005,'Repeat Detail'!$A$6:$A$1005,"Quality",'Repeat Detail'!$H$6:$H$1005,"Date span")),SUMIFS('Repeat Detail'!$O$6:$O$1005,'Repeat Detail'!$A$6:$A$1005,"Quality",'Repeat Detail'!$H$6:$H$1005,"Last date"),NA()),"",A116+1))</x:f>
      </x:c>
      <x:c r="B117" s="20" t="str">
        <x:f>IF($A117="","",SUMIFS('Repeat Detail'!$I$6:$I$1005,'Repeat Detail'!$A$6:$A$1005,"Daily",'Repeat Detail'!$B$6:$B$1005,$A117))</x:f>
      </x:c>
      <x:c r="C117" s="20" t="str">
        <x:f>IF($A117="","",SUMIFS('Repeat Detail'!$J$6:$J$1005,'Repeat Detail'!$A$6:$A$1005,"Daily",'Repeat Detail'!$B$6:$B$1005,$A117))</x:f>
      </x:c>
      <x:c r="D117" s="20" t="str">
        <x:f>IF($A117="","",SUMIFS('Repeat Detail'!$K$6:$K$1005,'Repeat Detail'!$A$6:$A$1005,"Daily",'Repeat Detail'!$B$6:$B$1005,$A117))</x:f>
      </x:c>
      <x:c r="E117" s="20" t="str">
        <x:f>IF($A117="","",SUMIFS('Repeat Detail'!$L$6:$L$1005,'Repeat Detail'!$A$6:$A$1005,"Daily",'Repeat Detail'!$B$6:$B$1005,$A117))</x:f>
      </x:c>
      <x:c r="F117" s="22" t="str">
        <x:f>IF(A117="","",IF(D117=0,"n.a.",E117/D117))</x:f>
      </x:c>
      <x:c r="G117" s="20" t="str">
        <x:f>IF($A117="","",SUMIFS('Repeat Detail'!$M$6:$M$1005,'Repeat Detail'!$A$6:$A$1005,"Daily",'Repeat Detail'!$B$6:$B$1005,$A117))</x:f>
      </x:c>
      <x:c r="H117" s="22" t="str">
        <x:f>IF(A117="","",IF(C117=0,"n.a.",G117/C117))</x:f>
      </x:c>
      <x:c r="I117" s="20" t="str">
        <x:f>IF($A117="","",SUMIFS('Repeat Detail'!$N$6:$N$1005,'Repeat Detail'!$A$6:$A$1005,"Daily",'Repeat Detail'!$B$6:$B$1005,$A117))</x:f>
      </x:c>
      <x:c r="J117" s="20" t="str">
        <x:f>IF(A117="","",B117-C117)</x:f>
      </x:c>
    </x:row>
    <x:row r="118">
      <x:c r="A118" s="12" t="str">
        <x:f>IF(A117="","",IF(A117+1&gt;IF(AND(COUNTIF('Repeat Detail'!$A$6:$A$1005,"Quality")=21,COUNTIF('Repeat Detail'!$A$6:$A$1005,"Menu")=12,COUNTIF('Repeat Detail'!$A$6:$A$1005,"Daily")=SUMIFS('Repeat Detail'!$O$6:$O$1005,'Repeat Detail'!$A$6:$A$1005,"Quality",'Repeat Detail'!$H$6:$H$1005,"Date span")),SUMIFS('Repeat Detail'!$O$6:$O$1005,'Repeat Detail'!$A$6:$A$1005,"Quality",'Repeat Detail'!$H$6:$H$1005,"Last date"),NA()),"",A117+1))</x:f>
      </x:c>
      <x:c r="B118" s="20" t="str">
        <x:f>IF($A118="","",SUMIFS('Repeat Detail'!$I$6:$I$1005,'Repeat Detail'!$A$6:$A$1005,"Daily",'Repeat Detail'!$B$6:$B$1005,$A118))</x:f>
      </x:c>
      <x:c r="C118" s="20" t="str">
        <x:f>IF($A118="","",SUMIFS('Repeat Detail'!$J$6:$J$1005,'Repeat Detail'!$A$6:$A$1005,"Daily",'Repeat Detail'!$B$6:$B$1005,$A118))</x:f>
      </x:c>
      <x:c r="D118" s="20" t="str">
        <x:f>IF($A118="","",SUMIFS('Repeat Detail'!$K$6:$K$1005,'Repeat Detail'!$A$6:$A$1005,"Daily",'Repeat Detail'!$B$6:$B$1005,$A118))</x:f>
      </x:c>
      <x:c r="E118" s="20" t="str">
        <x:f>IF($A118="","",SUMIFS('Repeat Detail'!$L$6:$L$1005,'Repeat Detail'!$A$6:$A$1005,"Daily",'Repeat Detail'!$B$6:$B$1005,$A118))</x:f>
      </x:c>
      <x:c r="F118" s="22" t="str">
        <x:f>IF(A118="","",IF(D118=0,"n.a.",E118/D118))</x:f>
      </x:c>
      <x:c r="G118" s="20" t="str">
        <x:f>IF($A118="","",SUMIFS('Repeat Detail'!$M$6:$M$1005,'Repeat Detail'!$A$6:$A$1005,"Daily",'Repeat Detail'!$B$6:$B$1005,$A118))</x:f>
      </x:c>
      <x:c r="H118" s="22" t="str">
        <x:f>IF(A118="","",IF(C118=0,"n.a.",G118/C118))</x:f>
      </x:c>
      <x:c r="I118" s="20" t="str">
        <x:f>IF($A118="","",SUMIFS('Repeat Detail'!$N$6:$N$1005,'Repeat Detail'!$A$6:$A$1005,"Daily",'Repeat Detail'!$B$6:$B$1005,$A118))</x:f>
      </x:c>
      <x:c r="J118" s="20" t="str">
        <x:f>IF(A118="","",B118-C118)</x:f>
      </x:c>
    </x:row>
    <x:row r="119">
      <x:c r="A119" s="12" t="str">
        <x:f>IF(A118="","",IF(A118+1&gt;IF(AND(COUNTIF('Repeat Detail'!$A$6:$A$1005,"Quality")=21,COUNTIF('Repeat Detail'!$A$6:$A$1005,"Menu")=12,COUNTIF('Repeat Detail'!$A$6:$A$1005,"Daily")=SUMIFS('Repeat Detail'!$O$6:$O$1005,'Repeat Detail'!$A$6:$A$1005,"Quality",'Repeat Detail'!$H$6:$H$1005,"Date span")),SUMIFS('Repeat Detail'!$O$6:$O$1005,'Repeat Detail'!$A$6:$A$1005,"Quality",'Repeat Detail'!$H$6:$H$1005,"Last date"),NA()),"",A118+1))</x:f>
      </x:c>
      <x:c r="B119" s="20" t="str">
        <x:f>IF($A119="","",SUMIFS('Repeat Detail'!$I$6:$I$1005,'Repeat Detail'!$A$6:$A$1005,"Daily",'Repeat Detail'!$B$6:$B$1005,$A119))</x:f>
      </x:c>
      <x:c r="C119" s="20" t="str">
        <x:f>IF($A119="","",SUMIFS('Repeat Detail'!$J$6:$J$1005,'Repeat Detail'!$A$6:$A$1005,"Daily",'Repeat Detail'!$B$6:$B$1005,$A119))</x:f>
      </x:c>
      <x:c r="D119" s="20" t="str">
        <x:f>IF($A119="","",SUMIFS('Repeat Detail'!$K$6:$K$1005,'Repeat Detail'!$A$6:$A$1005,"Daily",'Repeat Detail'!$B$6:$B$1005,$A119))</x:f>
      </x:c>
      <x:c r="E119" s="20" t="str">
        <x:f>IF($A119="","",SUMIFS('Repeat Detail'!$L$6:$L$1005,'Repeat Detail'!$A$6:$A$1005,"Daily",'Repeat Detail'!$B$6:$B$1005,$A119))</x:f>
      </x:c>
      <x:c r="F119" s="22" t="str">
        <x:f>IF(A119="","",IF(D119=0,"n.a.",E119/D119))</x:f>
      </x:c>
      <x:c r="G119" s="20" t="str">
        <x:f>IF($A119="","",SUMIFS('Repeat Detail'!$M$6:$M$1005,'Repeat Detail'!$A$6:$A$1005,"Daily",'Repeat Detail'!$B$6:$B$1005,$A119))</x:f>
      </x:c>
      <x:c r="H119" s="22" t="str">
        <x:f>IF(A119="","",IF(C119=0,"n.a.",G119/C119))</x:f>
      </x:c>
      <x:c r="I119" s="20" t="str">
        <x:f>IF($A119="","",SUMIFS('Repeat Detail'!$N$6:$N$1005,'Repeat Detail'!$A$6:$A$1005,"Daily",'Repeat Detail'!$B$6:$B$1005,$A119))</x:f>
      </x:c>
      <x:c r="J119" s="20" t="str">
        <x:f>IF(A119="","",B119-C119)</x:f>
      </x:c>
    </x:row>
    <x:row r="120">
      <x:c r="A120" s="12" t="str">
        <x:f>IF(A119="","",IF(A119+1&gt;IF(AND(COUNTIF('Repeat Detail'!$A$6:$A$1005,"Quality")=21,COUNTIF('Repeat Detail'!$A$6:$A$1005,"Menu")=12,COUNTIF('Repeat Detail'!$A$6:$A$1005,"Daily")=SUMIFS('Repeat Detail'!$O$6:$O$1005,'Repeat Detail'!$A$6:$A$1005,"Quality",'Repeat Detail'!$H$6:$H$1005,"Date span")),SUMIFS('Repeat Detail'!$O$6:$O$1005,'Repeat Detail'!$A$6:$A$1005,"Quality",'Repeat Detail'!$H$6:$H$1005,"Last date"),NA()),"",A119+1))</x:f>
      </x:c>
      <x:c r="B120" s="20" t="str">
        <x:f>IF($A120="","",SUMIFS('Repeat Detail'!$I$6:$I$1005,'Repeat Detail'!$A$6:$A$1005,"Daily",'Repeat Detail'!$B$6:$B$1005,$A120))</x:f>
      </x:c>
      <x:c r="C120" s="20" t="str">
        <x:f>IF($A120="","",SUMIFS('Repeat Detail'!$J$6:$J$1005,'Repeat Detail'!$A$6:$A$1005,"Daily",'Repeat Detail'!$B$6:$B$1005,$A120))</x:f>
      </x:c>
      <x:c r="D120" s="20" t="str">
        <x:f>IF($A120="","",SUMIFS('Repeat Detail'!$K$6:$K$1005,'Repeat Detail'!$A$6:$A$1005,"Daily",'Repeat Detail'!$B$6:$B$1005,$A120))</x:f>
      </x:c>
      <x:c r="E120" s="20" t="str">
        <x:f>IF($A120="","",SUMIFS('Repeat Detail'!$L$6:$L$1005,'Repeat Detail'!$A$6:$A$1005,"Daily",'Repeat Detail'!$B$6:$B$1005,$A120))</x:f>
      </x:c>
      <x:c r="F120" s="22" t="str">
        <x:f>IF(A120="","",IF(D120=0,"n.a.",E120/D120))</x:f>
      </x:c>
      <x:c r="G120" s="20" t="str">
        <x:f>IF($A120="","",SUMIFS('Repeat Detail'!$M$6:$M$1005,'Repeat Detail'!$A$6:$A$1005,"Daily",'Repeat Detail'!$B$6:$B$1005,$A120))</x:f>
      </x:c>
      <x:c r="H120" s="22" t="str">
        <x:f>IF(A120="","",IF(C120=0,"n.a.",G120/C120))</x:f>
      </x:c>
      <x:c r="I120" s="20" t="str">
        <x:f>IF($A120="","",SUMIFS('Repeat Detail'!$N$6:$N$1005,'Repeat Detail'!$A$6:$A$1005,"Daily",'Repeat Detail'!$B$6:$B$1005,$A120))</x:f>
      </x:c>
      <x:c r="J120" s="20" t="str">
        <x:f>IF(A120="","",B120-C120)</x:f>
      </x:c>
    </x:row>
    <x:row r="121">
      <x:c r="A121" s="12" t="str">
        <x:f>IF(A120="","",IF(A120+1&gt;IF(AND(COUNTIF('Repeat Detail'!$A$6:$A$1005,"Quality")=21,COUNTIF('Repeat Detail'!$A$6:$A$1005,"Menu")=12,COUNTIF('Repeat Detail'!$A$6:$A$1005,"Daily")=SUMIFS('Repeat Detail'!$O$6:$O$1005,'Repeat Detail'!$A$6:$A$1005,"Quality",'Repeat Detail'!$H$6:$H$1005,"Date span")),SUMIFS('Repeat Detail'!$O$6:$O$1005,'Repeat Detail'!$A$6:$A$1005,"Quality",'Repeat Detail'!$H$6:$H$1005,"Last date"),NA()),"",A120+1))</x:f>
      </x:c>
      <x:c r="B121" s="20" t="str">
        <x:f>IF($A121="","",SUMIFS('Repeat Detail'!$I$6:$I$1005,'Repeat Detail'!$A$6:$A$1005,"Daily",'Repeat Detail'!$B$6:$B$1005,$A121))</x:f>
      </x:c>
      <x:c r="C121" s="20" t="str">
        <x:f>IF($A121="","",SUMIFS('Repeat Detail'!$J$6:$J$1005,'Repeat Detail'!$A$6:$A$1005,"Daily",'Repeat Detail'!$B$6:$B$1005,$A121))</x:f>
      </x:c>
      <x:c r="D121" s="20" t="str">
        <x:f>IF($A121="","",SUMIFS('Repeat Detail'!$K$6:$K$1005,'Repeat Detail'!$A$6:$A$1005,"Daily",'Repeat Detail'!$B$6:$B$1005,$A121))</x:f>
      </x:c>
      <x:c r="E121" s="20" t="str">
        <x:f>IF($A121="","",SUMIFS('Repeat Detail'!$L$6:$L$1005,'Repeat Detail'!$A$6:$A$1005,"Daily",'Repeat Detail'!$B$6:$B$1005,$A121))</x:f>
      </x:c>
      <x:c r="F121" s="22" t="str">
        <x:f>IF(A121="","",IF(D121=0,"n.a.",E121/D121))</x:f>
      </x:c>
      <x:c r="G121" s="20" t="str">
        <x:f>IF($A121="","",SUMIFS('Repeat Detail'!$M$6:$M$1005,'Repeat Detail'!$A$6:$A$1005,"Daily",'Repeat Detail'!$B$6:$B$1005,$A121))</x:f>
      </x:c>
      <x:c r="H121" s="22" t="str">
        <x:f>IF(A121="","",IF(C121=0,"n.a.",G121/C121))</x:f>
      </x:c>
      <x:c r="I121" s="20" t="str">
        <x:f>IF($A121="","",SUMIFS('Repeat Detail'!$N$6:$N$1005,'Repeat Detail'!$A$6:$A$1005,"Daily",'Repeat Detail'!$B$6:$B$1005,$A121))</x:f>
      </x:c>
      <x:c r="J121" s="20" t="str">
        <x:f>IF(A121="","",B121-C121)</x:f>
      </x:c>
    </x:row>
    <x:row r="122">
      <x:c r="A122" s="12" t="str">
        <x:f>IF(A121="","",IF(A121+1&gt;IF(AND(COUNTIF('Repeat Detail'!$A$6:$A$1005,"Quality")=21,COUNTIF('Repeat Detail'!$A$6:$A$1005,"Menu")=12,COUNTIF('Repeat Detail'!$A$6:$A$1005,"Daily")=SUMIFS('Repeat Detail'!$O$6:$O$1005,'Repeat Detail'!$A$6:$A$1005,"Quality",'Repeat Detail'!$H$6:$H$1005,"Date span")),SUMIFS('Repeat Detail'!$O$6:$O$1005,'Repeat Detail'!$A$6:$A$1005,"Quality",'Repeat Detail'!$H$6:$H$1005,"Last date"),NA()),"",A121+1))</x:f>
      </x:c>
      <x:c r="B122" s="20" t="str">
        <x:f>IF($A122="","",SUMIFS('Repeat Detail'!$I$6:$I$1005,'Repeat Detail'!$A$6:$A$1005,"Daily",'Repeat Detail'!$B$6:$B$1005,$A122))</x:f>
      </x:c>
      <x:c r="C122" s="20" t="str">
        <x:f>IF($A122="","",SUMIFS('Repeat Detail'!$J$6:$J$1005,'Repeat Detail'!$A$6:$A$1005,"Daily",'Repeat Detail'!$B$6:$B$1005,$A122))</x:f>
      </x:c>
      <x:c r="D122" s="20" t="str">
        <x:f>IF($A122="","",SUMIFS('Repeat Detail'!$K$6:$K$1005,'Repeat Detail'!$A$6:$A$1005,"Daily",'Repeat Detail'!$B$6:$B$1005,$A122))</x:f>
      </x:c>
      <x:c r="E122" s="20" t="str">
        <x:f>IF($A122="","",SUMIFS('Repeat Detail'!$L$6:$L$1005,'Repeat Detail'!$A$6:$A$1005,"Daily",'Repeat Detail'!$B$6:$B$1005,$A122))</x:f>
      </x:c>
      <x:c r="F122" s="22" t="str">
        <x:f>IF(A122="","",IF(D122=0,"n.a.",E122/D122))</x:f>
      </x:c>
      <x:c r="G122" s="20" t="str">
        <x:f>IF($A122="","",SUMIFS('Repeat Detail'!$M$6:$M$1005,'Repeat Detail'!$A$6:$A$1005,"Daily",'Repeat Detail'!$B$6:$B$1005,$A122))</x:f>
      </x:c>
      <x:c r="H122" s="22" t="str">
        <x:f>IF(A122="","",IF(C122=0,"n.a.",G122/C122))</x:f>
      </x:c>
      <x:c r="I122" s="20" t="str">
        <x:f>IF($A122="","",SUMIFS('Repeat Detail'!$N$6:$N$1005,'Repeat Detail'!$A$6:$A$1005,"Daily",'Repeat Detail'!$B$6:$B$1005,$A122))</x:f>
      </x:c>
      <x:c r="J122" s="20" t="str">
        <x:f>IF(A122="","",B122-C122)</x:f>
      </x:c>
    </x:row>
    <x:row r="123">
      <x:c r="A123" s="12" t="str">
        <x:f>IF(A122="","",IF(A122+1&gt;IF(AND(COUNTIF('Repeat Detail'!$A$6:$A$1005,"Quality")=21,COUNTIF('Repeat Detail'!$A$6:$A$1005,"Menu")=12,COUNTIF('Repeat Detail'!$A$6:$A$1005,"Daily")=SUMIFS('Repeat Detail'!$O$6:$O$1005,'Repeat Detail'!$A$6:$A$1005,"Quality",'Repeat Detail'!$H$6:$H$1005,"Date span")),SUMIFS('Repeat Detail'!$O$6:$O$1005,'Repeat Detail'!$A$6:$A$1005,"Quality",'Repeat Detail'!$H$6:$H$1005,"Last date"),NA()),"",A122+1))</x:f>
      </x:c>
      <x:c r="B123" s="20" t="str">
        <x:f>IF($A123="","",SUMIFS('Repeat Detail'!$I$6:$I$1005,'Repeat Detail'!$A$6:$A$1005,"Daily",'Repeat Detail'!$B$6:$B$1005,$A123))</x:f>
      </x:c>
      <x:c r="C123" s="20" t="str">
        <x:f>IF($A123="","",SUMIFS('Repeat Detail'!$J$6:$J$1005,'Repeat Detail'!$A$6:$A$1005,"Daily",'Repeat Detail'!$B$6:$B$1005,$A123))</x:f>
      </x:c>
      <x:c r="D123" s="20" t="str">
        <x:f>IF($A123="","",SUMIFS('Repeat Detail'!$K$6:$K$1005,'Repeat Detail'!$A$6:$A$1005,"Daily",'Repeat Detail'!$B$6:$B$1005,$A123))</x:f>
      </x:c>
      <x:c r="E123" s="20" t="str">
        <x:f>IF($A123="","",SUMIFS('Repeat Detail'!$L$6:$L$1005,'Repeat Detail'!$A$6:$A$1005,"Daily",'Repeat Detail'!$B$6:$B$1005,$A123))</x:f>
      </x:c>
      <x:c r="F123" s="22" t="str">
        <x:f>IF(A123="","",IF(D123=0,"n.a.",E123/D123))</x:f>
      </x:c>
      <x:c r="G123" s="20" t="str">
        <x:f>IF($A123="","",SUMIFS('Repeat Detail'!$M$6:$M$1005,'Repeat Detail'!$A$6:$A$1005,"Daily",'Repeat Detail'!$B$6:$B$1005,$A123))</x:f>
      </x:c>
      <x:c r="H123" s="22" t="str">
        <x:f>IF(A123="","",IF(C123=0,"n.a.",G123/C123))</x:f>
      </x:c>
      <x:c r="I123" s="20" t="str">
        <x:f>IF($A123="","",SUMIFS('Repeat Detail'!$N$6:$N$1005,'Repeat Detail'!$A$6:$A$1005,"Daily",'Repeat Detail'!$B$6:$B$1005,$A123))</x:f>
      </x:c>
      <x:c r="J123" s="20" t="str">
        <x:f>IF(A123="","",B123-C123)</x:f>
      </x:c>
    </x:row>
    <x:row r="124">
      <x:c r="A124" s="12" t="str">
        <x:f>IF(A123="","",IF(A123+1&gt;IF(AND(COUNTIF('Repeat Detail'!$A$6:$A$1005,"Quality")=21,COUNTIF('Repeat Detail'!$A$6:$A$1005,"Menu")=12,COUNTIF('Repeat Detail'!$A$6:$A$1005,"Daily")=SUMIFS('Repeat Detail'!$O$6:$O$1005,'Repeat Detail'!$A$6:$A$1005,"Quality",'Repeat Detail'!$H$6:$H$1005,"Date span")),SUMIFS('Repeat Detail'!$O$6:$O$1005,'Repeat Detail'!$A$6:$A$1005,"Quality",'Repeat Detail'!$H$6:$H$1005,"Last date"),NA()),"",A123+1))</x:f>
      </x:c>
      <x:c r="B124" s="20" t="str">
        <x:f>IF($A124="","",SUMIFS('Repeat Detail'!$I$6:$I$1005,'Repeat Detail'!$A$6:$A$1005,"Daily",'Repeat Detail'!$B$6:$B$1005,$A124))</x:f>
      </x:c>
      <x:c r="C124" s="20" t="str">
        <x:f>IF($A124="","",SUMIFS('Repeat Detail'!$J$6:$J$1005,'Repeat Detail'!$A$6:$A$1005,"Daily",'Repeat Detail'!$B$6:$B$1005,$A124))</x:f>
      </x:c>
      <x:c r="D124" s="20" t="str">
        <x:f>IF($A124="","",SUMIFS('Repeat Detail'!$K$6:$K$1005,'Repeat Detail'!$A$6:$A$1005,"Daily",'Repeat Detail'!$B$6:$B$1005,$A124))</x:f>
      </x:c>
      <x:c r="E124" s="20" t="str">
        <x:f>IF($A124="","",SUMIFS('Repeat Detail'!$L$6:$L$1005,'Repeat Detail'!$A$6:$A$1005,"Daily",'Repeat Detail'!$B$6:$B$1005,$A124))</x:f>
      </x:c>
      <x:c r="F124" s="22" t="str">
        <x:f>IF(A124="","",IF(D124=0,"n.a.",E124/D124))</x:f>
      </x:c>
      <x:c r="G124" s="20" t="str">
        <x:f>IF($A124="","",SUMIFS('Repeat Detail'!$M$6:$M$1005,'Repeat Detail'!$A$6:$A$1005,"Daily",'Repeat Detail'!$B$6:$B$1005,$A124))</x:f>
      </x:c>
      <x:c r="H124" s="22" t="str">
        <x:f>IF(A124="","",IF(C124=0,"n.a.",G124/C124))</x:f>
      </x:c>
      <x:c r="I124" s="20" t="str">
        <x:f>IF($A124="","",SUMIFS('Repeat Detail'!$N$6:$N$1005,'Repeat Detail'!$A$6:$A$1005,"Daily",'Repeat Detail'!$B$6:$B$1005,$A124))</x:f>
      </x:c>
      <x:c r="J124" s="20" t="str">
        <x:f>IF(A124="","",B124-C124)</x:f>
      </x:c>
    </x:row>
    <x:row r="125">
      <x:c r="A125" s="12" t="str">
        <x:f>IF(A124="","",IF(A124+1&gt;IF(AND(COUNTIF('Repeat Detail'!$A$6:$A$1005,"Quality")=21,COUNTIF('Repeat Detail'!$A$6:$A$1005,"Menu")=12,COUNTIF('Repeat Detail'!$A$6:$A$1005,"Daily")=SUMIFS('Repeat Detail'!$O$6:$O$1005,'Repeat Detail'!$A$6:$A$1005,"Quality",'Repeat Detail'!$H$6:$H$1005,"Date span")),SUMIFS('Repeat Detail'!$O$6:$O$1005,'Repeat Detail'!$A$6:$A$1005,"Quality",'Repeat Detail'!$H$6:$H$1005,"Last date"),NA()),"",A124+1))</x:f>
      </x:c>
      <x:c r="B125" s="20" t="str">
        <x:f>IF($A125="","",SUMIFS('Repeat Detail'!$I$6:$I$1005,'Repeat Detail'!$A$6:$A$1005,"Daily",'Repeat Detail'!$B$6:$B$1005,$A125))</x:f>
      </x:c>
      <x:c r="C125" s="20" t="str">
        <x:f>IF($A125="","",SUMIFS('Repeat Detail'!$J$6:$J$1005,'Repeat Detail'!$A$6:$A$1005,"Daily",'Repeat Detail'!$B$6:$B$1005,$A125))</x:f>
      </x:c>
      <x:c r="D125" s="20" t="str">
        <x:f>IF($A125="","",SUMIFS('Repeat Detail'!$K$6:$K$1005,'Repeat Detail'!$A$6:$A$1005,"Daily",'Repeat Detail'!$B$6:$B$1005,$A125))</x:f>
      </x:c>
      <x:c r="E125" s="20" t="str">
        <x:f>IF($A125="","",SUMIFS('Repeat Detail'!$L$6:$L$1005,'Repeat Detail'!$A$6:$A$1005,"Daily",'Repeat Detail'!$B$6:$B$1005,$A125))</x:f>
      </x:c>
      <x:c r="F125" s="22" t="str">
        <x:f>IF(A125="","",IF(D125=0,"n.a.",E125/D125))</x:f>
      </x:c>
      <x:c r="G125" s="20" t="str">
        <x:f>IF($A125="","",SUMIFS('Repeat Detail'!$M$6:$M$1005,'Repeat Detail'!$A$6:$A$1005,"Daily",'Repeat Detail'!$B$6:$B$1005,$A125))</x:f>
      </x:c>
      <x:c r="H125" s="22" t="str">
        <x:f>IF(A125="","",IF(C125=0,"n.a.",G125/C125))</x:f>
      </x:c>
      <x:c r="I125" s="20" t="str">
        <x:f>IF($A125="","",SUMIFS('Repeat Detail'!$N$6:$N$1005,'Repeat Detail'!$A$6:$A$1005,"Daily",'Repeat Detail'!$B$6:$B$1005,$A125))</x:f>
      </x:c>
      <x:c r="J125" s="20" t="str">
        <x:f>IF(A125="","",B125-C125)</x:f>
      </x:c>
    </x:row>
    <x:row r="126">
      <x:c r="A126" s="12" t="str">
        <x:f>IF(A125="","",IF(A125+1&gt;IF(AND(COUNTIF('Repeat Detail'!$A$6:$A$1005,"Quality")=21,COUNTIF('Repeat Detail'!$A$6:$A$1005,"Menu")=12,COUNTIF('Repeat Detail'!$A$6:$A$1005,"Daily")=SUMIFS('Repeat Detail'!$O$6:$O$1005,'Repeat Detail'!$A$6:$A$1005,"Quality",'Repeat Detail'!$H$6:$H$1005,"Date span")),SUMIFS('Repeat Detail'!$O$6:$O$1005,'Repeat Detail'!$A$6:$A$1005,"Quality",'Repeat Detail'!$H$6:$H$1005,"Last date"),NA()),"",A125+1))</x:f>
      </x:c>
      <x:c r="B126" s="20" t="str">
        <x:f>IF($A126="","",SUMIFS('Repeat Detail'!$I$6:$I$1005,'Repeat Detail'!$A$6:$A$1005,"Daily",'Repeat Detail'!$B$6:$B$1005,$A126))</x:f>
      </x:c>
      <x:c r="C126" s="20" t="str">
        <x:f>IF($A126="","",SUMIFS('Repeat Detail'!$J$6:$J$1005,'Repeat Detail'!$A$6:$A$1005,"Daily",'Repeat Detail'!$B$6:$B$1005,$A126))</x:f>
      </x:c>
      <x:c r="D126" s="20" t="str">
        <x:f>IF($A126="","",SUMIFS('Repeat Detail'!$K$6:$K$1005,'Repeat Detail'!$A$6:$A$1005,"Daily",'Repeat Detail'!$B$6:$B$1005,$A126))</x:f>
      </x:c>
      <x:c r="E126" s="20" t="str">
        <x:f>IF($A126="","",SUMIFS('Repeat Detail'!$L$6:$L$1005,'Repeat Detail'!$A$6:$A$1005,"Daily",'Repeat Detail'!$B$6:$B$1005,$A126))</x:f>
      </x:c>
      <x:c r="F126" s="22" t="str">
        <x:f>IF(A126="","",IF(D126=0,"n.a.",E126/D126))</x:f>
      </x:c>
      <x:c r="G126" s="20" t="str">
        <x:f>IF($A126="","",SUMIFS('Repeat Detail'!$M$6:$M$1005,'Repeat Detail'!$A$6:$A$1005,"Daily",'Repeat Detail'!$B$6:$B$1005,$A126))</x:f>
      </x:c>
      <x:c r="H126" s="22" t="str">
        <x:f>IF(A126="","",IF(C126=0,"n.a.",G126/C126))</x:f>
      </x:c>
      <x:c r="I126" s="20" t="str">
        <x:f>IF($A126="","",SUMIFS('Repeat Detail'!$N$6:$N$1005,'Repeat Detail'!$A$6:$A$1005,"Daily",'Repeat Detail'!$B$6:$B$1005,$A126))</x:f>
      </x:c>
      <x:c r="J126" s="20" t="str">
        <x:f>IF(A126="","",B126-C126)</x:f>
      </x:c>
    </x:row>
    <x:row r="127">
      <x:c r="A127" s="12" t="str">
        <x:f>IF(A126="","",IF(A126+1&gt;IF(AND(COUNTIF('Repeat Detail'!$A$6:$A$1005,"Quality")=21,COUNTIF('Repeat Detail'!$A$6:$A$1005,"Menu")=12,COUNTIF('Repeat Detail'!$A$6:$A$1005,"Daily")=SUMIFS('Repeat Detail'!$O$6:$O$1005,'Repeat Detail'!$A$6:$A$1005,"Quality",'Repeat Detail'!$H$6:$H$1005,"Date span")),SUMIFS('Repeat Detail'!$O$6:$O$1005,'Repeat Detail'!$A$6:$A$1005,"Quality",'Repeat Detail'!$H$6:$H$1005,"Last date"),NA()),"",A126+1))</x:f>
      </x:c>
      <x:c r="B127" s="20" t="str">
        <x:f>IF($A127="","",SUMIFS('Repeat Detail'!$I$6:$I$1005,'Repeat Detail'!$A$6:$A$1005,"Daily",'Repeat Detail'!$B$6:$B$1005,$A127))</x:f>
      </x:c>
      <x:c r="C127" s="20" t="str">
        <x:f>IF($A127="","",SUMIFS('Repeat Detail'!$J$6:$J$1005,'Repeat Detail'!$A$6:$A$1005,"Daily",'Repeat Detail'!$B$6:$B$1005,$A127))</x:f>
      </x:c>
      <x:c r="D127" s="20" t="str">
        <x:f>IF($A127="","",SUMIFS('Repeat Detail'!$K$6:$K$1005,'Repeat Detail'!$A$6:$A$1005,"Daily",'Repeat Detail'!$B$6:$B$1005,$A127))</x:f>
      </x:c>
      <x:c r="E127" s="20" t="str">
        <x:f>IF($A127="","",SUMIFS('Repeat Detail'!$L$6:$L$1005,'Repeat Detail'!$A$6:$A$1005,"Daily",'Repeat Detail'!$B$6:$B$1005,$A127))</x:f>
      </x:c>
      <x:c r="F127" s="22" t="str">
        <x:f>IF(A127="","",IF(D127=0,"n.a.",E127/D127))</x:f>
      </x:c>
      <x:c r="G127" s="20" t="str">
        <x:f>IF($A127="","",SUMIFS('Repeat Detail'!$M$6:$M$1005,'Repeat Detail'!$A$6:$A$1005,"Daily",'Repeat Detail'!$B$6:$B$1005,$A127))</x:f>
      </x:c>
      <x:c r="H127" s="22" t="str">
        <x:f>IF(A127="","",IF(C127=0,"n.a.",G127/C127))</x:f>
      </x:c>
      <x:c r="I127" s="20" t="str">
        <x:f>IF($A127="","",SUMIFS('Repeat Detail'!$N$6:$N$1005,'Repeat Detail'!$A$6:$A$1005,"Daily",'Repeat Detail'!$B$6:$B$1005,$A127))</x:f>
      </x:c>
      <x:c r="J127" s="20" t="str">
        <x:f>IF(A127="","",B127-C127)</x:f>
      </x:c>
    </x:row>
    <x:row r="128">
      <x:c r="A128" s="12" t="str">
        <x:f>IF(A127="","",IF(A127+1&gt;IF(AND(COUNTIF('Repeat Detail'!$A$6:$A$1005,"Quality")=21,COUNTIF('Repeat Detail'!$A$6:$A$1005,"Menu")=12,COUNTIF('Repeat Detail'!$A$6:$A$1005,"Daily")=SUMIFS('Repeat Detail'!$O$6:$O$1005,'Repeat Detail'!$A$6:$A$1005,"Quality",'Repeat Detail'!$H$6:$H$1005,"Date span")),SUMIFS('Repeat Detail'!$O$6:$O$1005,'Repeat Detail'!$A$6:$A$1005,"Quality",'Repeat Detail'!$H$6:$H$1005,"Last date"),NA()),"",A127+1))</x:f>
      </x:c>
      <x:c r="B128" s="20" t="str">
        <x:f>IF($A128="","",SUMIFS('Repeat Detail'!$I$6:$I$1005,'Repeat Detail'!$A$6:$A$1005,"Daily",'Repeat Detail'!$B$6:$B$1005,$A128))</x:f>
      </x:c>
      <x:c r="C128" s="20" t="str">
        <x:f>IF($A128="","",SUMIFS('Repeat Detail'!$J$6:$J$1005,'Repeat Detail'!$A$6:$A$1005,"Daily",'Repeat Detail'!$B$6:$B$1005,$A128))</x:f>
      </x:c>
      <x:c r="D128" s="20" t="str">
        <x:f>IF($A128="","",SUMIFS('Repeat Detail'!$K$6:$K$1005,'Repeat Detail'!$A$6:$A$1005,"Daily",'Repeat Detail'!$B$6:$B$1005,$A128))</x:f>
      </x:c>
      <x:c r="E128" s="20" t="str">
        <x:f>IF($A128="","",SUMIFS('Repeat Detail'!$L$6:$L$1005,'Repeat Detail'!$A$6:$A$1005,"Daily",'Repeat Detail'!$B$6:$B$1005,$A128))</x:f>
      </x:c>
      <x:c r="F128" s="22" t="str">
        <x:f>IF(A128="","",IF(D128=0,"n.a.",E128/D128))</x:f>
      </x:c>
      <x:c r="G128" s="20" t="str">
        <x:f>IF($A128="","",SUMIFS('Repeat Detail'!$M$6:$M$1005,'Repeat Detail'!$A$6:$A$1005,"Daily",'Repeat Detail'!$B$6:$B$1005,$A128))</x:f>
      </x:c>
      <x:c r="H128" s="22" t="str">
        <x:f>IF(A128="","",IF(C128=0,"n.a.",G128/C128))</x:f>
      </x:c>
      <x:c r="I128" s="20" t="str">
        <x:f>IF($A128="","",SUMIFS('Repeat Detail'!$N$6:$N$1005,'Repeat Detail'!$A$6:$A$1005,"Daily",'Repeat Detail'!$B$6:$B$1005,$A128))</x:f>
      </x:c>
      <x:c r="J128" s="20" t="str">
        <x:f>IF(A128="","",B128-C128)</x:f>
      </x:c>
    </x:row>
    <x:row r="129">
      <x:c r="A129" s="12" t="str">
        <x:f>IF(A128="","",IF(A128+1&gt;IF(AND(COUNTIF('Repeat Detail'!$A$6:$A$1005,"Quality")=21,COUNTIF('Repeat Detail'!$A$6:$A$1005,"Menu")=12,COUNTIF('Repeat Detail'!$A$6:$A$1005,"Daily")=SUMIFS('Repeat Detail'!$O$6:$O$1005,'Repeat Detail'!$A$6:$A$1005,"Quality",'Repeat Detail'!$H$6:$H$1005,"Date span")),SUMIFS('Repeat Detail'!$O$6:$O$1005,'Repeat Detail'!$A$6:$A$1005,"Quality",'Repeat Detail'!$H$6:$H$1005,"Last date"),NA()),"",A128+1))</x:f>
      </x:c>
      <x:c r="B129" s="20" t="str">
        <x:f>IF($A129="","",SUMIFS('Repeat Detail'!$I$6:$I$1005,'Repeat Detail'!$A$6:$A$1005,"Daily",'Repeat Detail'!$B$6:$B$1005,$A129))</x:f>
      </x:c>
      <x:c r="C129" s="20" t="str">
        <x:f>IF($A129="","",SUMIFS('Repeat Detail'!$J$6:$J$1005,'Repeat Detail'!$A$6:$A$1005,"Daily",'Repeat Detail'!$B$6:$B$1005,$A129))</x:f>
      </x:c>
      <x:c r="D129" s="20" t="str">
        <x:f>IF($A129="","",SUMIFS('Repeat Detail'!$K$6:$K$1005,'Repeat Detail'!$A$6:$A$1005,"Daily",'Repeat Detail'!$B$6:$B$1005,$A129))</x:f>
      </x:c>
      <x:c r="E129" s="20" t="str">
        <x:f>IF($A129="","",SUMIFS('Repeat Detail'!$L$6:$L$1005,'Repeat Detail'!$A$6:$A$1005,"Daily",'Repeat Detail'!$B$6:$B$1005,$A129))</x:f>
      </x:c>
      <x:c r="F129" s="22" t="str">
        <x:f>IF(A129="","",IF(D129=0,"n.a.",E129/D129))</x:f>
      </x:c>
      <x:c r="G129" s="20" t="str">
        <x:f>IF($A129="","",SUMIFS('Repeat Detail'!$M$6:$M$1005,'Repeat Detail'!$A$6:$A$1005,"Daily",'Repeat Detail'!$B$6:$B$1005,$A129))</x:f>
      </x:c>
      <x:c r="H129" s="22" t="str">
        <x:f>IF(A129="","",IF(C129=0,"n.a.",G129/C129))</x:f>
      </x:c>
      <x:c r="I129" s="20" t="str">
        <x:f>IF($A129="","",SUMIFS('Repeat Detail'!$N$6:$N$1005,'Repeat Detail'!$A$6:$A$1005,"Daily",'Repeat Detail'!$B$6:$B$1005,$A129))</x:f>
      </x:c>
      <x:c r="J129" s="20" t="str">
        <x:f>IF(A129="","",B129-C129)</x:f>
      </x:c>
    </x:row>
    <x:row r="130">
      <x:c r="A130" s="12" t="str">
        <x:f>IF(A129="","",IF(A129+1&gt;IF(AND(COUNTIF('Repeat Detail'!$A$6:$A$1005,"Quality")=21,COUNTIF('Repeat Detail'!$A$6:$A$1005,"Menu")=12,COUNTIF('Repeat Detail'!$A$6:$A$1005,"Daily")=SUMIFS('Repeat Detail'!$O$6:$O$1005,'Repeat Detail'!$A$6:$A$1005,"Quality",'Repeat Detail'!$H$6:$H$1005,"Date span")),SUMIFS('Repeat Detail'!$O$6:$O$1005,'Repeat Detail'!$A$6:$A$1005,"Quality",'Repeat Detail'!$H$6:$H$1005,"Last date"),NA()),"",A129+1))</x:f>
      </x:c>
      <x:c r="B130" s="20" t="str">
        <x:f>IF($A130="","",SUMIFS('Repeat Detail'!$I$6:$I$1005,'Repeat Detail'!$A$6:$A$1005,"Daily",'Repeat Detail'!$B$6:$B$1005,$A130))</x:f>
      </x:c>
      <x:c r="C130" s="20" t="str">
        <x:f>IF($A130="","",SUMIFS('Repeat Detail'!$J$6:$J$1005,'Repeat Detail'!$A$6:$A$1005,"Daily",'Repeat Detail'!$B$6:$B$1005,$A130))</x:f>
      </x:c>
      <x:c r="D130" s="20" t="str">
        <x:f>IF($A130="","",SUMIFS('Repeat Detail'!$K$6:$K$1005,'Repeat Detail'!$A$6:$A$1005,"Daily",'Repeat Detail'!$B$6:$B$1005,$A130))</x:f>
      </x:c>
      <x:c r="E130" s="20" t="str">
        <x:f>IF($A130="","",SUMIFS('Repeat Detail'!$L$6:$L$1005,'Repeat Detail'!$A$6:$A$1005,"Daily",'Repeat Detail'!$B$6:$B$1005,$A130))</x:f>
      </x:c>
      <x:c r="F130" s="22" t="str">
        <x:f>IF(A130="","",IF(D130=0,"n.a.",E130/D130))</x:f>
      </x:c>
      <x:c r="G130" s="20" t="str">
        <x:f>IF($A130="","",SUMIFS('Repeat Detail'!$M$6:$M$1005,'Repeat Detail'!$A$6:$A$1005,"Daily",'Repeat Detail'!$B$6:$B$1005,$A130))</x:f>
      </x:c>
      <x:c r="H130" s="22" t="str">
        <x:f>IF(A130="","",IF(C130=0,"n.a.",G130/C130))</x:f>
      </x:c>
      <x:c r="I130" s="20" t="str">
        <x:f>IF($A130="","",SUMIFS('Repeat Detail'!$N$6:$N$1005,'Repeat Detail'!$A$6:$A$1005,"Daily",'Repeat Detail'!$B$6:$B$1005,$A130))</x:f>
      </x:c>
      <x:c r="J130" s="20" t="str">
        <x:f>IF(A130="","",B130-C130)</x:f>
      </x:c>
    </x:row>
    <x:row r="131">
      <x:c r="A131" s="12" t="str">
        <x:f>IF(A130="","",IF(A130+1&gt;IF(AND(COUNTIF('Repeat Detail'!$A$6:$A$1005,"Quality")=21,COUNTIF('Repeat Detail'!$A$6:$A$1005,"Menu")=12,COUNTIF('Repeat Detail'!$A$6:$A$1005,"Daily")=SUMIFS('Repeat Detail'!$O$6:$O$1005,'Repeat Detail'!$A$6:$A$1005,"Quality",'Repeat Detail'!$H$6:$H$1005,"Date span")),SUMIFS('Repeat Detail'!$O$6:$O$1005,'Repeat Detail'!$A$6:$A$1005,"Quality",'Repeat Detail'!$H$6:$H$1005,"Last date"),NA()),"",A130+1))</x:f>
      </x:c>
      <x:c r="B131" s="20" t="str">
        <x:f>IF($A131="","",SUMIFS('Repeat Detail'!$I$6:$I$1005,'Repeat Detail'!$A$6:$A$1005,"Daily",'Repeat Detail'!$B$6:$B$1005,$A131))</x:f>
      </x:c>
      <x:c r="C131" s="20" t="str">
        <x:f>IF($A131="","",SUMIFS('Repeat Detail'!$J$6:$J$1005,'Repeat Detail'!$A$6:$A$1005,"Daily",'Repeat Detail'!$B$6:$B$1005,$A131))</x:f>
      </x:c>
      <x:c r="D131" s="20" t="str">
        <x:f>IF($A131="","",SUMIFS('Repeat Detail'!$K$6:$K$1005,'Repeat Detail'!$A$6:$A$1005,"Daily",'Repeat Detail'!$B$6:$B$1005,$A131))</x:f>
      </x:c>
      <x:c r="E131" s="20" t="str">
        <x:f>IF($A131="","",SUMIFS('Repeat Detail'!$L$6:$L$1005,'Repeat Detail'!$A$6:$A$1005,"Daily",'Repeat Detail'!$B$6:$B$1005,$A131))</x:f>
      </x:c>
      <x:c r="F131" s="22" t="str">
        <x:f>IF(A131="","",IF(D131=0,"n.a.",E131/D131))</x:f>
      </x:c>
      <x:c r="G131" s="20" t="str">
        <x:f>IF($A131="","",SUMIFS('Repeat Detail'!$M$6:$M$1005,'Repeat Detail'!$A$6:$A$1005,"Daily",'Repeat Detail'!$B$6:$B$1005,$A131))</x:f>
      </x:c>
      <x:c r="H131" s="22" t="str">
        <x:f>IF(A131="","",IF(C131=0,"n.a.",G131/C131))</x:f>
      </x:c>
      <x:c r="I131" s="20" t="str">
        <x:f>IF($A131="","",SUMIFS('Repeat Detail'!$N$6:$N$1005,'Repeat Detail'!$A$6:$A$1005,"Daily",'Repeat Detail'!$B$6:$B$1005,$A131))</x:f>
      </x:c>
      <x:c r="J131" s="20" t="str">
        <x:f>IF(A131="","",B131-C131)</x:f>
      </x:c>
    </x:row>
    <x:row r="132">
      <x:c r="A132" s="12" t="str">
        <x:f>IF(A131="","",IF(A131+1&gt;IF(AND(COUNTIF('Repeat Detail'!$A$6:$A$1005,"Quality")=21,COUNTIF('Repeat Detail'!$A$6:$A$1005,"Menu")=12,COUNTIF('Repeat Detail'!$A$6:$A$1005,"Daily")=SUMIFS('Repeat Detail'!$O$6:$O$1005,'Repeat Detail'!$A$6:$A$1005,"Quality",'Repeat Detail'!$H$6:$H$1005,"Date span")),SUMIFS('Repeat Detail'!$O$6:$O$1005,'Repeat Detail'!$A$6:$A$1005,"Quality",'Repeat Detail'!$H$6:$H$1005,"Last date"),NA()),"",A131+1))</x:f>
      </x:c>
      <x:c r="B132" s="20" t="str">
        <x:f>IF($A132="","",SUMIFS('Repeat Detail'!$I$6:$I$1005,'Repeat Detail'!$A$6:$A$1005,"Daily",'Repeat Detail'!$B$6:$B$1005,$A132))</x:f>
      </x:c>
      <x:c r="C132" s="20" t="str">
        <x:f>IF($A132="","",SUMIFS('Repeat Detail'!$J$6:$J$1005,'Repeat Detail'!$A$6:$A$1005,"Daily",'Repeat Detail'!$B$6:$B$1005,$A132))</x:f>
      </x:c>
      <x:c r="D132" s="20" t="str">
        <x:f>IF($A132="","",SUMIFS('Repeat Detail'!$K$6:$K$1005,'Repeat Detail'!$A$6:$A$1005,"Daily",'Repeat Detail'!$B$6:$B$1005,$A132))</x:f>
      </x:c>
      <x:c r="E132" s="20" t="str">
        <x:f>IF($A132="","",SUMIFS('Repeat Detail'!$L$6:$L$1005,'Repeat Detail'!$A$6:$A$1005,"Daily",'Repeat Detail'!$B$6:$B$1005,$A132))</x:f>
      </x:c>
      <x:c r="F132" s="22" t="str">
        <x:f>IF(A132="","",IF(D132=0,"n.a.",E132/D132))</x:f>
      </x:c>
      <x:c r="G132" s="20" t="str">
        <x:f>IF($A132="","",SUMIFS('Repeat Detail'!$M$6:$M$1005,'Repeat Detail'!$A$6:$A$1005,"Daily",'Repeat Detail'!$B$6:$B$1005,$A132))</x:f>
      </x:c>
      <x:c r="H132" s="22" t="str">
        <x:f>IF(A132="","",IF(C132=0,"n.a.",G132/C132))</x:f>
      </x:c>
      <x:c r="I132" s="20" t="str">
        <x:f>IF($A132="","",SUMIFS('Repeat Detail'!$N$6:$N$1005,'Repeat Detail'!$A$6:$A$1005,"Daily",'Repeat Detail'!$B$6:$B$1005,$A132))</x:f>
      </x:c>
      <x:c r="J132" s="20" t="str">
        <x:f>IF(A132="","",B132-C132)</x:f>
      </x:c>
    </x:row>
    <x:row r="133">
      <x:c r="A133" s="12" t="str">
        <x:f>IF(A132="","",IF(A132+1&gt;IF(AND(COUNTIF('Repeat Detail'!$A$6:$A$1005,"Quality")=21,COUNTIF('Repeat Detail'!$A$6:$A$1005,"Menu")=12,COUNTIF('Repeat Detail'!$A$6:$A$1005,"Daily")=SUMIFS('Repeat Detail'!$O$6:$O$1005,'Repeat Detail'!$A$6:$A$1005,"Quality",'Repeat Detail'!$H$6:$H$1005,"Date span")),SUMIFS('Repeat Detail'!$O$6:$O$1005,'Repeat Detail'!$A$6:$A$1005,"Quality",'Repeat Detail'!$H$6:$H$1005,"Last date"),NA()),"",A132+1))</x:f>
      </x:c>
      <x:c r="B133" s="20" t="str">
        <x:f>IF($A133="","",SUMIFS('Repeat Detail'!$I$6:$I$1005,'Repeat Detail'!$A$6:$A$1005,"Daily",'Repeat Detail'!$B$6:$B$1005,$A133))</x:f>
      </x:c>
      <x:c r="C133" s="20" t="str">
        <x:f>IF($A133="","",SUMIFS('Repeat Detail'!$J$6:$J$1005,'Repeat Detail'!$A$6:$A$1005,"Daily",'Repeat Detail'!$B$6:$B$1005,$A133))</x:f>
      </x:c>
      <x:c r="D133" s="20" t="str">
        <x:f>IF($A133="","",SUMIFS('Repeat Detail'!$K$6:$K$1005,'Repeat Detail'!$A$6:$A$1005,"Daily",'Repeat Detail'!$B$6:$B$1005,$A133))</x:f>
      </x:c>
      <x:c r="E133" s="20" t="str">
        <x:f>IF($A133="","",SUMIFS('Repeat Detail'!$L$6:$L$1005,'Repeat Detail'!$A$6:$A$1005,"Daily",'Repeat Detail'!$B$6:$B$1005,$A133))</x:f>
      </x:c>
      <x:c r="F133" s="22" t="str">
        <x:f>IF(A133="","",IF(D133=0,"n.a.",E133/D133))</x:f>
      </x:c>
      <x:c r="G133" s="20" t="str">
        <x:f>IF($A133="","",SUMIFS('Repeat Detail'!$M$6:$M$1005,'Repeat Detail'!$A$6:$A$1005,"Daily",'Repeat Detail'!$B$6:$B$1005,$A133))</x:f>
      </x:c>
      <x:c r="H133" s="22" t="str">
        <x:f>IF(A133="","",IF(C133=0,"n.a.",G133/C133))</x:f>
      </x:c>
      <x:c r="I133" s="20" t="str">
        <x:f>IF($A133="","",SUMIFS('Repeat Detail'!$N$6:$N$1005,'Repeat Detail'!$A$6:$A$1005,"Daily",'Repeat Detail'!$B$6:$B$1005,$A133))</x:f>
      </x:c>
      <x:c r="J133" s="20" t="str">
        <x:f>IF(A133="","",B133-C133)</x:f>
      </x:c>
    </x:row>
    <x:row r="134">
      <x:c r="A134" s="12" t="str">
        <x:f>IF(A133="","",IF(A133+1&gt;IF(AND(COUNTIF('Repeat Detail'!$A$6:$A$1005,"Quality")=21,COUNTIF('Repeat Detail'!$A$6:$A$1005,"Menu")=12,COUNTIF('Repeat Detail'!$A$6:$A$1005,"Daily")=SUMIFS('Repeat Detail'!$O$6:$O$1005,'Repeat Detail'!$A$6:$A$1005,"Quality",'Repeat Detail'!$H$6:$H$1005,"Date span")),SUMIFS('Repeat Detail'!$O$6:$O$1005,'Repeat Detail'!$A$6:$A$1005,"Quality",'Repeat Detail'!$H$6:$H$1005,"Last date"),NA()),"",A133+1))</x:f>
      </x:c>
      <x:c r="B134" s="20" t="str">
        <x:f>IF($A134="","",SUMIFS('Repeat Detail'!$I$6:$I$1005,'Repeat Detail'!$A$6:$A$1005,"Daily",'Repeat Detail'!$B$6:$B$1005,$A134))</x:f>
      </x:c>
      <x:c r="C134" s="20" t="str">
        <x:f>IF($A134="","",SUMIFS('Repeat Detail'!$J$6:$J$1005,'Repeat Detail'!$A$6:$A$1005,"Daily",'Repeat Detail'!$B$6:$B$1005,$A134))</x:f>
      </x:c>
      <x:c r="D134" s="20" t="str">
        <x:f>IF($A134="","",SUMIFS('Repeat Detail'!$K$6:$K$1005,'Repeat Detail'!$A$6:$A$1005,"Daily",'Repeat Detail'!$B$6:$B$1005,$A134))</x:f>
      </x:c>
      <x:c r="E134" s="20" t="str">
        <x:f>IF($A134="","",SUMIFS('Repeat Detail'!$L$6:$L$1005,'Repeat Detail'!$A$6:$A$1005,"Daily",'Repeat Detail'!$B$6:$B$1005,$A134))</x:f>
      </x:c>
      <x:c r="F134" s="22" t="str">
        <x:f>IF(A134="","",IF(D134=0,"n.a.",E134/D134))</x:f>
      </x:c>
      <x:c r="G134" s="20" t="str">
        <x:f>IF($A134="","",SUMIFS('Repeat Detail'!$M$6:$M$1005,'Repeat Detail'!$A$6:$A$1005,"Daily",'Repeat Detail'!$B$6:$B$1005,$A134))</x:f>
      </x:c>
      <x:c r="H134" s="22" t="str">
        <x:f>IF(A134="","",IF(C134=0,"n.a.",G134/C134))</x:f>
      </x:c>
      <x:c r="I134" s="20" t="str">
        <x:f>IF($A134="","",SUMIFS('Repeat Detail'!$N$6:$N$1005,'Repeat Detail'!$A$6:$A$1005,"Daily",'Repeat Detail'!$B$6:$B$1005,$A134))</x:f>
      </x:c>
      <x:c r="J134" s="20" t="str">
        <x:f>IF(A134="","",B134-C134)</x:f>
      </x:c>
    </x:row>
    <x:row r="135">
      <x:c r="A135" s="12" t="str">
        <x:f>IF(A134="","",IF(A134+1&gt;IF(AND(COUNTIF('Repeat Detail'!$A$6:$A$1005,"Quality")=21,COUNTIF('Repeat Detail'!$A$6:$A$1005,"Menu")=12,COUNTIF('Repeat Detail'!$A$6:$A$1005,"Daily")=SUMIFS('Repeat Detail'!$O$6:$O$1005,'Repeat Detail'!$A$6:$A$1005,"Quality",'Repeat Detail'!$H$6:$H$1005,"Date span")),SUMIFS('Repeat Detail'!$O$6:$O$1005,'Repeat Detail'!$A$6:$A$1005,"Quality",'Repeat Detail'!$H$6:$H$1005,"Last date"),NA()),"",A134+1))</x:f>
      </x:c>
      <x:c r="B135" s="20" t="str">
        <x:f>IF($A135="","",SUMIFS('Repeat Detail'!$I$6:$I$1005,'Repeat Detail'!$A$6:$A$1005,"Daily",'Repeat Detail'!$B$6:$B$1005,$A135))</x:f>
      </x:c>
      <x:c r="C135" s="20" t="str">
        <x:f>IF($A135="","",SUMIFS('Repeat Detail'!$J$6:$J$1005,'Repeat Detail'!$A$6:$A$1005,"Daily",'Repeat Detail'!$B$6:$B$1005,$A135))</x:f>
      </x:c>
      <x:c r="D135" s="20" t="str">
        <x:f>IF($A135="","",SUMIFS('Repeat Detail'!$K$6:$K$1005,'Repeat Detail'!$A$6:$A$1005,"Daily",'Repeat Detail'!$B$6:$B$1005,$A135))</x:f>
      </x:c>
      <x:c r="E135" s="20" t="str">
        <x:f>IF($A135="","",SUMIFS('Repeat Detail'!$L$6:$L$1005,'Repeat Detail'!$A$6:$A$1005,"Daily",'Repeat Detail'!$B$6:$B$1005,$A135))</x:f>
      </x:c>
      <x:c r="F135" s="22" t="str">
        <x:f>IF(A135="","",IF(D135=0,"n.a.",E135/D135))</x:f>
      </x:c>
      <x:c r="G135" s="20" t="str">
        <x:f>IF($A135="","",SUMIFS('Repeat Detail'!$M$6:$M$1005,'Repeat Detail'!$A$6:$A$1005,"Daily",'Repeat Detail'!$B$6:$B$1005,$A135))</x:f>
      </x:c>
      <x:c r="H135" s="22" t="str">
        <x:f>IF(A135="","",IF(C135=0,"n.a.",G135/C135))</x:f>
      </x:c>
      <x:c r="I135" s="20" t="str">
        <x:f>IF($A135="","",SUMIFS('Repeat Detail'!$N$6:$N$1005,'Repeat Detail'!$A$6:$A$1005,"Daily",'Repeat Detail'!$B$6:$B$1005,$A135))</x:f>
      </x:c>
      <x:c r="J135" s="20" t="str">
        <x:f>IF(A135="","",B135-C135)</x:f>
      </x:c>
    </x:row>
    <x:row r="136">
      <x:c r="A136" s="12" t="str">
        <x:f>IF(A135="","",IF(A135+1&gt;IF(AND(COUNTIF('Repeat Detail'!$A$6:$A$1005,"Quality")=21,COUNTIF('Repeat Detail'!$A$6:$A$1005,"Menu")=12,COUNTIF('Repeat Detail'!$A$6:$A$1005,"Daily")=SUMIFS('Repeat Detail'!$O$6:$O$1005,'Repeat Detail'!$A$6:$A$1005,"Quality",'Repeat Detail'!$H$6:$H$1005,"Date span")),SUMIFS('Repeat Detail'!$O$6:$O$1005,'Repeat Detail'!$A$6:$A$1005,"Quality",'Repeat Detail'!$H$6:$H$1005,"Last date"),NA()),"",A135+1))</x:f>
      </x:c>
      <x:c r="B136" s="20" t="str">
        <x:f>IF($A136="","",SUMIFS('Repeat Detail'!$I$6:$I$1005,'Repeat Detail'!$A$6:$A$1005,"Daily",'Repeat Detail'!$B$6:$B$1005,$A136))</x:f>
      </x:c>
      <x:c r="C136" s="20" t="str">
        <x:f>IF($A136="","",SUMIFS('Repeat Detail'!$J$6:$J$1005,'Repeat Detail'!$A$6:$A$1005,"Daily",'Repeat Detail'!$B$6:$B$1005,$A136))</x:f>
      </x:c>
      <x:c r="D136" s="20" t="str">
        <x:f>IF($A136="","",SUMIFS('Repeat Detail'!$K$6:$K$1005,'Repeat Detail'!$A$6:$A$1005,"Daily",'Repeat Detail'!$B$6:$B$1005,$A136))</x:f>
      </x:c>
      <x:c r="E136" s="20" t="str">
        <x:f>IF($A136="","",SUMIFS('Repeat Detail'!$L$6:$L$1005,'Repeat Detail'!$A$6:$A$1005,"Daily",'Repeat Detail'!$B$6:$B$1005,$A136))</x:f>
      </x:c>
      <x:c r="F136" s="22" t="str">
        <x:f>IF(A136="","",IF(D136=0,"n.a.",E136/D136))</x:f>
      </x:c>
      <x:c r="G136" s="20" t="str">
        <x:f>IF($A136="","",SUMIFS('Repeat Detail'!$M$6:$M$1005,'Repeat Detail'!$A$6:$A$1005,"Daily",'Repeat Detail'!$B$6:$B$1005,$A136))</x:f>
      </x:c>
      <x:c r="H136" s="22" t="str">
        <x:f>IF(A136="","",IF(C136=0,"n.a.",G136/C136))</x:f>
      </x:c>
      <x:c r="I136" s="20" t="str">
        <x:f>IF($A136="","",SUMIFS('Repeat Detail'!$N$6:$N$1005,'Repeat Detail'!$A$6:$A$1005,"Daily",'Repeat Detail'!$B$6:$B$1005,$A136))</x:f>
      </x:c>
      <x:c r="J136" s="20" t="str">
        <x:f>IF(A136="","",B136-C136)</x:f>
      </x:c>
    </x:row>
    <x:row r="137">
      <x:c r="A137" s="12" t="str">
        <x:f>IF(A136="","",IF(A136+1&gt;IF(AND(COUNTIF('Repeat Detail'!$A$6:$A$1005,"Quality")=21,COUNTIF('Repeat Detail'!$A$6:$A$1005,"Menu")=12,COUNTIF('Repeat Detail'!$A$6:$A$1005,"Daily")=SUMIFS('Repeat Detail'!$O$6:$O$1005,'Repeat Detail'!$A$6:$A$1005,"Quality",'Repeat Detail'!$H$6:$H$1005,"Date span")),SUMIFS('Repeat Detail'!$O$6:$O$1005,'Repeat Detail'!$A$6:$A$1005,"Quality",'Repeat Detail'!$H$6:$H$1005,"Last date"),NA()),"",A136+1))</x:f>
      </x:c>
      <x:c r="B137" s="20" t="str">
        <x:f>IF($A137="","",SUMIFS('Repeat Detail'!$I$6:$I$1005,'Repeat Detail'!$A$6:$A$1005,"Daily",'Repeat Detail'!$B$6:$B$1005,$A137))</x:f>
      </x:c>
      <x:c r="C137" s="20" t="str">
        <x:f>IF($A137="","",SUMIFS('Repeat Detail'!$J$6:$J$1005,'Repeat Detail'!$A$6:$A$1005,"Daily",'Repeat Detail'!$B$6:$B$1005,$A137))</x:f>
      </x:c>
      <x:c r="D137" s="20" t="str">
        <x:f>IF($A137="","",SUMIFS('Repeat Detail'!$K$6:$K$1005,'Repeat Detail'!$A$6:$A$1005,"Daily",'Repeat Detail'!$B$6:$B$1005,$A137))</x:f>
      </x:c>
      <x:c r="E137" s="20" t="str">
        <x:f>IF($A137="","",SUMIFS('Repeat Detail'!$L$6:$L$1005,'Repeat Detail'!$A$6:$A$1005,"Daily",'Repeat Detail'!$B$6:$B$1005,$A137))</x:f>
      </x:c>
      <x:c r="F137" s="22" t="str">
        <x:f>IF(A137="","",IF(D137=0,"n.a.",E137/D137))</x:f>
      </x:c>
      <x:c r="G137" s="20" t="str">
        <x:f>IF($A137="","",SUMIFS('Repeat Detail'!$M$6:$M$1005,'Repeat Detail'!$A$6:$A$1005,"Daily",'Repeat Detail'!$B$6:$B$1005,$A137))</x:f>
      </x:c>
      <x:c r="H137" s="22" t="str">
        <x:f>IF(A137="","",IF(C137=0,"n.a.",G137/C137))</x:f>
      </x:c>
      <x:c r="I137" s="20" t="str">
        <x:f>IF($A137="","",SUMIFS('Repeat Detail'!$N$6:$N$1005,'Repeat Detail'!$A$6:$A$1005,"Daily",'Repeat Detail'!$B$6:$B$1005,$A137))</x:f>
      </x:c>
      <x:c r="J137" s="20" t="str">
        <x:f>IF(A137="","",B137-C137)</x:f>
      </x:c>
    </x:row>
    <x:row r="138">
      <x:c r="A138" s="12" t="str">
        <x:f>IF(A137="","",IF(A137+1&gt;IF(AND(COUNTIF('Repeat Detail'!$A$6:$A$1005,"Quality")=21,COUNTIF('Repeat Detail'!$A$6:$A$1005,"Menu")=12,COUNTIF('Repeat Detail'!$A$6:$A$1005,"Daily")=SUMIFS('Repeat Detail'!$O$6:$O$1005,'Repeat Detail'!$A$6:$A$1005,"Quality",'Repeat Detail'!$H$6:$H$1005,"Date span")),SUMIFS('Repeat Detail'!$O$6:$O$1005,'Repeat Detail'!$A$6:$A$1005,"Quality",'Repeat Detail'!$H$6:$H$1005,"Last date"),NA()),"",A137+1))</x:f>
      </x:c>
      <x:c r="B138" s="20" t="str">
        <x:f>IF($A138="","",SUMIFS('Repeat Detail'!$I$6:$I$1005,'Repeat Detail'!$A$6:$A$1005,"Daily",'Repeat Detail'!$B$6:$B$1005,$A138))</x:f>
      </x:c>
      <x:c r="C138" s="20" t="str">
        <x:f>IF($A138="","",SUMIFS('Repeat Detail'!$J$6:$J$1005,'Repeat Detail'!$A$6:$A$1005,"Daily",'Repeat Detail'!$B$6:$B$1005,$A138))</x:f>
      </x:c>
      <x:c r="D138" s="20" t="str">
        <x:f>IF($A138="","",SUMIFS('Repeat Detail'!$K$6:$K$1005,'Repeat Detail'!$A$6:$A$1005,"Daily",'Repeat Detail'!$B$6:$B$1005,$A138))</x:f>
      </x:c>
      <x:c r="E138" s="20" t="str">
        <x:f>IF($A138="","",SUMIFS('Repeat Detail'!$L$6:$L$1005,'Repeat Detail'!$A$6:$A$1005,"Daily",'Repeat Detail'!$B$6:$B$1005,$A138))</x:f>
      </x:c>
      <x:c r="F138" s="22" t="str">
        <x:f>IF(A138="","",IF(D138=0,"n.a.",E138/D138))</x:f>
      </x:c>
      <x:c r="G138" s="20" t="str">
        <x:f>IF($A138="","",SUMIFS('Repeat Detail'!$M$6:$M$1005,'Repeat Detail'!$A$6:$A$1005,"Daily",'Repeat Detail'!$B$6:$B$1005,$A138))</x:f>
      </x:c>
      <x:c r="H138" s="22" t="str">
        <x:f>IF(A138="","",IF(C138=0,"n.a.",G138/C138))</x:f>
      </x:c>
      <x:c r="I138" s="20" t="str">
        <x:f>IF($A138="","",SUMIFS('Repeat Detail'!$N$6:$N$1005,'Repeat Detail'!$A$6:$A$1005,"Daily",'Repeat Detail'!$B$6:$B$1005,$A138))</x:f>
      </x:c>
      <x:c r="J138" s="20" t="str">
        <x:f>IF(A138="","",B138-C138)</x:f>
      </x:c>
    </x:row>
    <x:row r="139">
      <x:c r="A139" s="12" t="str">
        <x:f>IF(A138="","",IF(A138+1&gt;IF(AND(COUNTIF('Repeat Detail'!$A$6:$A$1005,"Quality")=21,COUNTIF('Repeat Detail'!$A$6:$A$1005,"Menu")=12,COUNTIF('Repeat Detail'!$A$6:$A$1005,"Daily")=SUMIFS('Repeat Detail'!$O$6:$O$1005,'Repeat Detail'!$A$6:$A$1005,"Quality",'Repeat Detail'!$H$6:$H$1005,"Date span")),SUMIFS('Repeat Detail'!$O$6:$O$1005,'Repeat Detail'!$A$6:$A$1005,"Quality",'Repeat Detail'!$H$6:$H$1005,"Last date"),NA()),"",A138+1))</x:f>
      </x:c>
      <x:c r="B139" s="20" t="str">
        <x:f>IF($A139="","",SUMIFS('Repeat Detail'!$I$6:$I$1005,'Repeat Detail'!$A$6:$A$1005,"Daily",'Repeat Detail'!$B$6:$B$1005,$A139))</x:f>
      </x:c>
      <x:c r="C139" s="20" t="str">
        <x:f>IF($A139="","",SUMIFS('Repeat Detail'!$J$6:$J$1005,'Repeat Detail'!$A$6:$A$1005,"Daily",'Repeat Detail'!$B$6:$B$1005,$A139))</x:f>
      </x:c>
      <x:c r="D139" s="20" t="str">
        <x:f>IF($A139="","",SUMIFS('Repeat Detail'!$K$6:$K$1005,'Repeat Detail'!$A$6:$A$1005,"Daily",'Repeat Detail'!$B$6:$B$1005,$A139))</x:f>
      </x:c>
      <x:c r="E139" s="20" t="str">
        <x:f>IF($A139="","",SUMIFS('Repeat Detail'!$L$6:$L$1005,'Repeat Detail'!$A$6:$A$1005,"Daily",'Repeat Detail'!$B$6:$B$1005,$A139))</x:f>
      </x:c>
      <x:c r="F139" s="22" t="str">
        <x:f>IF(A139="","",IF(D139=0,"n.a.",E139/D139))</x:f>
      </x:c>
      <x:c r="G139" s="20" t="str">
        <x:f>IF($A139="","",SUMIFS('Repeat Detail'!$M$6:$M$1005,'Repeat Detail'!$A$6:$A$1005,"Daily",'Repeat Detail'!$B$6:$B$1005,$A139))</x:f>
      </x:c>
      <x:c r="H139" s="22" t="str">
        <x:f>IF(A139="","",IF(C139=0,"n.a.",G139/C139))</x:f>
      </x:c>
      <x:c r="I139" s="20" t="str">
        <x:f>IF($A139="","",SUMIFS('Repeat Detail'!$N$6:$N$1005,'Repeat Detail'!$A$6:$A$1005,"Daily",'Repeat Detail'!$B$6:$B$1005,$A139))</x:f>
      </x:c>
      <x:c r="J139" s="20" t="str">
        <x:f>IF(A139="","",B139-C139)</x:f>
      </x:c>
    </x:row>
    <x:row r="140">
      <x:c r="A140" s="12" t="str">
        <x:f>IF(A139="","",IF(A139+1&gt;IF(AND(COUNTIF('Repeat Detail'!$A$6:$A$1005,"Quality")=21,COUNTIF('Repeat Detail'!$A$6:$A$1005,"Menu")=12,COUNTIF('Repeat Detail'!$A$6:$A$1005,"Daily")=SUMIFS('Repeat Detail'!$O$6:$O$1005,'Repeat Detail'!$A$6:$A$1005,"Quality",'Repeat Detail'!$H$6:$H$1005,"Date span")),SUMIFS('Repeat Detail'!$O$6:$O$1005,'Repeat Detail'!$A$6:$A$1005,"Quality",'Repeat Detail'!$H$6:$H$1005,"Last date"),NA()),"",A139+1))</x:f>
      </x:c>
      <x:c r="B140" s="20" t="str">
        <x:f>IF($A140="","",SUMIFS('Repeat Detail'!$I$6:$I$1005,'Repeat Detail'!$A$6:$A$1005,"Daily",'Repeat Detail'!$B$6:$B$1005,$A140))</x:f>
      </x:c>
      <x:c r="C140" s="20" t="str">
        <x:f>IF($A140="","",SUMIFS('Repeat Detail'!$J$6:$J$1005,'Repeat Detail'!$A$6:$A$1005,"Daily",'Repeat Detail'!$B$6:$B$1005,$A140))</x:f>
      </x:c>
      <x:c r="D140" s="20" t="str">
        <x:f>IF($A140="","",SUMIFS('Repeat Detail'!$K$6:$K$1005,'Repeat Detail'!$A$6:$A$1005,"Daily",'Repeat Detail'!$B$6:$B$1005,$A140))</x:f>
      </x:c>
      <x:c r="E140" s="20" t="str">
        <x:f>IF($A140="","",SUMIFS('Repeat Detail'!$L$6:$L$1005,'Repeat Detail'!$A$6:$A$1005,"Daily",'Repeat Detail'!$B$6:$B$1005,$A140))</x:f>
      </x:c>
      <x:c r="F140" s="22" t="str">
        <x:f>IF(A140="","",IF(D140=0,"n.a.",E140/D140))</x:f>
      </x:c>
      <x:c r="G140" s="20" t="str">
        <x:f>IF($A140="","",SUMIFS('Repeat Detail'!$M$6:$M$1005,'Repeat Detail'!$A$6:$A$1005,"Daily",'Repeat Detail'!$B$6:$B$1005,$A140))</x:f>
      </x:c>
      <x:c r="H140" s="22" t="str">
        <x:f>IF(A140="","",IF(C140=0,"n.a.",G140/C140))</x:f>
      </x:c>
      <x:c r="I140" s="20" t="str">
        <x:f>IF($A140="","",SUMIFS('Repeat Detail'!$N$6:$N$1005,'Repeat Detail'!$A$6:$A$1005,"Daily",'Repeat Detail'!$B$6:$B$1005,$A140))</x:f>
      </x:c>
      <x:c r="J140" s="20" t="str">
        <x:f>IF(A140="","",B140-C140)</x:f>
      </x:c>
    </x:row>
    <x:row r="141">
      <x:c r="A141" s="12" t="str">
        <x:f>IF(A140="","",IF(A140+1&gt;IF(AND(COUNTIF('Repeat Detail'!$A$6:$A$1005,"Quality")=21,COUNTIF('Repeat Detail'!$A$6:$A$1005,"Menu")=12,COUNTIF('Repeat Detail'!$A$6:$A$1005,"Daily")=SUMIFS('Repeat Detail'!$O$6:$O$1005,'Repeat Detail'!$A$6:$A$1005,"Quality",'Repeat Detail'!$H$6:$H$1005,"Date span")),SUMIFS('Repeat Detail'!$O$6:$O$1005,'Repeat Detail'!$A$6:$A$1005,"Quality",'Repeat Detail'!$H$6:$H$1005,"Last date"),NA()),"",A140+1))</x:f>
      </x:c>
      <x:c r="B141" s="20" t="str">
        <x:f>IF($A141="","",SUMIFS('Repeat Detail'!$I$6:$I$1005,'Repeat Detail'!$A$6:$A$1005,"Daily",'Repeat Detail'!$B$6:$B$1005,$A141))</x:f>
      </x:c>
      <x:c r="C141" s="20" t="str">
        <x:f>IF($A141="","",SUMIFS('Repeat Detail'!$J$6:$J$1005,'Repeat Detail'!$A$6:$A$1005,"Daily",'Repeat Detail'!$B$6:$B$1005,$A141))</x:f>
      </x:c>
      <x:c r="D141" s="20" t="str">
        <x:f>IF($A141="","",SUMIFS('Repeat Detail'!$K$6:$K$1005,'Repeat Detail'!$A$6:$A$1005,"Daily",'Repeat Detail'!$B$6:$B$1005,$A141))</x:f>
      </x:c>
      <x:c r="E141" s="20" t="str">
        <x:f>IF($A141="","",SUMIFS('Repeat Detail'!$L$6:$L$1005,'Repeat Detail'!$A$6:$A$1005,"Daily",'Repeat Detail'!$B$6:$B$1005,$A141))</x:f>
      </x:c>
      <x:c r="F141" s="22" t="str">
        <x:f>IF(A141="","",IF(D141=0,"n.a.",E141/D141))</x:f>
      </x:c>
      <x:c r="G141" s="20" t="str">
        <x:f>IF($A141="","",SUMIFS('Repeat Detail'!$M$6:$M$1005,'Repeat Detail'!$A$6:$A$1005,"Daily",'Repeat Detail'!$B$6:$B$1005,$A141))</x:f>
      </x:c>
      <x:c r="H141" s="22" t="str">
        <x:f>IF(A141="","",IF(C141=0,"n.a.",G141/C141))</x:f>
      </x:c>
      <x:c r="I141" s="20" t="str">
        <x:f>IF($A141="","",SUMIFS('Repeat Detail'!$N$6:$N$1005,'Repeat Detail'!$A$6:$A$1005,"Daily",'Repeat Detail'!$B$6:$B$1005,$A141))</x:f>
      </x:c>
      <x:c r="J141" s="20" t="str">
        <x:f>IF(A141="","",B141-C141)</x:f>
      </x:c>
    </x:row>
    <x:row r="142">
      <x:c r="A142" s="12" t="str">
        <x:f>IF(A141="","",IF(A141+1&gt;IF(AND(COUNTIF('Repeat Detail'!$A$6:$A$1005,"Quality")=21,COUNTIF('Repeat Detail'!$A$6:$A$1005,"Menu")=12,COUNTIF('Repeat Detail'!$A$6:$A$1005,"Daily")=SUMIFS('Repeat Detail'!$O$6:$O$1005,'Repeat Detail'!$A$6:$A$1005,"Quality",'Repeat Detail'!$H$6:$H$1005,"Date span")),SUMIFS('Repeat Detail'!$O$6:$O$1005,'Repeat Detail'!$A$6:$A$1005,"Quality",'Repeat Detail'!$H$6:$H$1005,"Last date"),NA()),"",A141+1))</x:f>
      </x:c>
      <x:c r="B142" s="20" t="str">
        <x:f>IF($A142="","",SUMIFS('Repeat Detail'!$I$6:$I$1005,'Repeat Detail'!$A$6:$A$1005,"Daily",'Repeat Detail'!$B$6:$B$1005,$A142))</x:f>
      </x:c>
      <x:c r="C142" s="20" t="str">
        <x:f>IF($A142="","",SUMIFS('Repeat Detail'!$J$6:$J$1005,'Repeat Detail'!$A$6:$A$1005,"Daily",'Repeat Detail'!$B$6:$B$1005,$A142))</x:f>
      </x:c>
      <x:c r="D142" s="20" t="str">
        <x:f>IF($A142="","",SUMIFS('Repeat Detail'!$K$6:$K$1005,'Repeat Detail'!$A$6:$A$1005,"Daily",'Repeat Detail'!$B$6:$B$1005,$A142))</x:f>
      </x:c>
      <x:c r="E142" s="20" t="str">
        <x:f>IF($A142="","",SUMIFS('Repeat Detail'!$L$6:$L$1005,'Repeat Detail'!$A$6:$A$1005,"Daily",'Repeat Detail'!$B$6:$B$1005,$A142))</x:f>
      </x:c>
      <x:c r="F142" s="22" t="str">
        <x:f>IF(A142="","",IF(D142=0,"n.a.",E142/D142))</x:f>
      </x:c>
      <x:c r="G142" s="20" t="str">
        <x:f>IF($A142="","",SUMIFS('Repeat Detail'!$M$6:$M$1005,'Repeat Detail'!$A$6:$A$1005,"Daily",'Repeat Detail'!$B$6:$B$1005,$A142))</x:f>
      </x:c>
      <x:c r="H142" s="22" t="str">
        <x:f>IF(A142="","",IF(C142=0,"n.a.",G142/C142))</x:f>
      </x:c>
      <x:c r="I142" s="20" t="str">
        <x:f>IF($A142="","",SUMIFS('Repeat Detail'!$N$6:$N$1005,'Repeat Detail'!$A$6:$A$1005,"Daily",'Repeat Detail'!$B$6:$B$1005,$A142))</x:f>
      </x:c>
      <x:c r="J142" s="20" t="str">
        <x:f>IF(A142="","",B142-C142)</x:f>
      </x:c>
    </x:row>
    <x:row r="143">
      <x:c r="A143" s="12" t="str">
        <x:f>IF(A142="","",IF(A142+1&gt;IF(AND(COUNTIF('Repeat Detail'!$A$6:$A$1005,"Quality")=21,COUNTIF('Repeat Detail'!$A$6:$A$1005,"Menu")=12,COUNTIF('Repeat Detail'!$A$6:$A$1005,"Daily")=SUMIFS('Repeat Detail'!$O$6:$O$1005,'Repeat Detail'!$A$6:$A$1005,"Quality",'Repeat Detail'!$H$6:$H$1005,"Date span")),SUMIFS('Repeat Detail'!$O$6:$O$1005,'Repeat Detail'!$A$6:$A$1005,"Quality",'Repeat Detail'!$H$6:$H$1005,"Last date"),NA()),"",A142+1))</x:f>
      </x:c>
      <x:c r="B143" s="20" t="str">
        <x:f>IF($A143="","",SUMIFS('Repeat Detail'!$I$6:$I$1005,'Repeat Detail'!$A$6:$A$1005,"Daily",'Repeat Detail'!$B$6:$B$1005,$A143))</x:f>
      </x:c>
      <x:c r="C143" s="20" t="str">
        <x:f>IF($A143="","",SUMIFS('Repeat Detail'!$J$6:$J$1005,'Repeat Detail'!$A$6:$A$1005,"Daily",'Repeat Detail'!$B$6:$B$1005,$A143))</x:f>
      </x:c>
      <x:c r="D143" s="20" t="str">
        <x:f>IF($A143="","",SUMIFS('Repeat Detail'!$K$6:$K$1005,'Repeat Detail'!$A$6:$A$1005,"Daily",'Repeat Detail'!$B$6:$B$1005,$A143))</x:f>
      </x:c>
      <x:c r="E143" s="20" t="str">
        <x:f>IF($A143="","",SUMIFS('Repeat Detail'!$L$6:$L$1005,'Repeat Detail'!$A$6:$A$1005,"Daily",'Repeat Detail'!$B$6:$B$1005,$A143))</x:f>
      </x:c>
      <x:c r="F143" s="22" t="str">
        <x:f>IF(A143="","",IF(D143=0,"n.a.",E143/D143))</x:f>
      </x:c>
      <x:c r="G143" s="20" t="str">
        <x:f>IF($A143="","",SUMIFS('Repeat Detail'!$M$6:$M$1005,'Repeat Detail'!$A$6:$A$1005,"Daily",'Repeat Detail'!$B$6:$B$1005,$A143))</x:f>
      </x:c>
      <x:c r="H143" s="22" t="str">
        <x:f>IF(A143="","",IF(C143=0,"n.a.",G143/C143))</x:f>
      </x:c>
      <x:c r="I143" s="20" t="str">
        <x:f>IF($A143="","",SUMIFS('Repeat Detail'!$N$6:$N$1005,'Repeat Detail'!$A$6:$A$1005,"Daily",'Repeat Detail'!$B$6:$B$1005,$A143))</x:f>
      </x:c>
      <x:c r="J143" s="20" t="str">
        <x:f>IF(A143="","",B143-C143)</x:f>
      </x:c>
    </x:row>
    <x:row r="144">
      <x:c r="A144" s="12" t="str">
        <x:f>IF(A143="","",IF(A143+1&gt;IF(AND(COUNTIF('Repeat Detail'!$A$6:$A$1005,"Quality")=21,COUNTIF('Repeat Detail'!$A$6:$A$1005,"Menu")=12,COUNTIF('Repeat Detail'!$A$6:$A$1005,"Daily")=SUMIFS('Repeat Detail'!$O$6:$O$1005,'Repeat Detail'!$A$6:$A$1005,"Quality",'Repeat Detail'!$H$6:$H$1005,"Date span")),SUMIFS('Repeat Detail'!$O$6:$O$1005,'Repeat Detail'!$A$6:$A$1005,"Quality",'Repeat Detail'!$H$6:$H$1005,"Last date"),NA()),"",A143+1))</x:f>
      </x:c>
      <x:c r="B144" s="20" t="str">
        <x:f>IF($A144="","",SUMIFS('Repeat Detail'!$I$6:$I$1005,'Repeat Detail'!$A$6:$A$1005,"Daily",'Repeat Detail'!$B$6:$B$1005,$A144))</x:f>
      </x:c>
      <x:c r="C144" s="20" t="str">
        <x:f>IF($A144="","",SUMIFS('Repeat Detail'!$J$6:$J$1005,'Repeat Detail'!$A$6:$A$1005,"Daily",'Repeat Detail'!$B$6:$B$1005,$A144))</x:f>
      </x:c>
      <x:c r="D144" s="20" t="str">
        <x:f>IF($A144="","",SUMIFS('Repeat Detail'!$K$6:$K$1005,'Repeat Detail'!$A$6:$A$1005,"Daily",'Repeat Detail'!$B$6:$B$1005,$A144))</x:f>
      </x:c>
      <x:c r="E144" s="20" t="str">
        <x:f>IF($A144="","",SUMIFS('Repeat Detail'!$L$6:$L$1005,'Repeat Detail'!$A$6:$A$1005,"Daily",'Repeat Detail'!$B$6:$B$1005,$A144))</x:f>
      </x:c>
      <x:c r="F144" s="22" t="str">
        <x:f>IF(A144="","",IF(D144=0,"n.a.",E144/D144))</x:f>
      </x:c>
      <x:c r="G144" s="20" t="str">
        <x:f>IF($A144="","",SUMIFS('Repeat Detail'!$M$6:$M$1005,'Repeat Detail'!$A$6:$A$1005,"Daily",'Repeat Detail'!$B$6:$B$1005,$A144))</x:f>
      </x:c>
      <x:c r="H144" s="22" t="str">
        <x:f>IF(A144="","",IF(C144=0,"n.a.",G144/C144))</x:f>
      </x:c>
      <x:c r="I144" s="20" t="str">
        <x:f>IF($A144="","",SUMIFS('Repeat Detail'!$N$6:$N$1005,'Repeat Detail'!$A$6:$A$1005,"Daily",'Repeat Detail'!$B$6:$B$1005,$A144))</x:f>
      </x:c>
      <x:c r="J144" s="20" t="str">
        <x:f>IF(A144="","",B144-C144)</x:f>
      </x:c>
    </x:row>
    <x:row r="145">
      <x:c r="A145" s="12" t="str">
        <x:f>IF(A144="","",IF(A144+1&gt;IF(AND(COUNTIF('Repeat Detail'!$A$6:$A$1005,"Quality")=21,COUNTIF('Repeat Detail'!$A$6:$A$1005,"Menu")=12,COUNTIF('Repeat Detail'!$A$6:$A$1005,"Daily")=SUMIFS('Repeat Detail'!$O$6:$O$1005,'Repeat Detail'!$A$6:$A$1005,"Quality",'Repeat Detail'!$H$6:$H$1005,"Date span")),SUMIFS('Repeat Detail'!$O$6:$O$1005,'Repeat Detail'!$A$6:$A$1005,"Quality",'Repeat Detail'!$H$6:$H$1005,"Last date"),NA()),"",A144+1))</x:f>
      </x:c>
      <x:c r="B145" s="20" t="str">
        <x:f>IF($A145="","",SUMIFS('Repeat Detail'!$I$6:$I$1005,'Repeat Detail'!$A$6:$A$1005,"Daily",'Repeat Detail'!$B$6:$B$1005,$A145))</x:f>
      </x:c>
      <x:c r="C145" s="20" t="str">
        <x:f>IF($A145="","",SUMIFS('Repeat Detail'!$J$6:$J$1005,'Repeat Detail'!$A$6:$A$1005,"Daily",'Repeat Detail'!$B$6:$B$1005,$A145))</x:f>
      </x:c>
      <x:c r="D145" s="20" t="str">
        <x:f>IF($A145="","",SUMIFS('Repeat Detail'!$K$6:$K$1005,'Repeat Detail'!$A$6:$A$1005,"Daily",'Repeat Detail'!$B$6:$B$1005,$A145))</x:f>
      </x:c>
      <x:c r="E145" s="20" t="str">
        <x:f>IF($A145="","",SUMIFS('Repeat Detail'!$L$6:$L$1005,'Repeat Detail'!$A$6:$A$1005,"Daily",'Repeat Detail'!$B$6:$B$1005,$A145))</x:f>
      </x:c>
      <x:c r="F145" s="22" t="str">
        <x:f>IF(A145="","",IF(D145=0,"n.a.",E145/D145))</x:f>
      </x:c>
      <x:c r="G145" s="20" t="str">
        <x:f>IF($A145="","",SUMIFS('Repeat Detail'!$M$6:$M$1005,'Repeat Detail'!$A$6:$A$1005,"Daily",'Repeat Detail'!$B$6:$B$1005,$A145))</x:f>
      </x:c>
      <x:c r="H145" s="22" t="str">
        <x:f>IF(A145="","",IF(C145=0,"n.a.",G145/C145))</x:f>
      </x:c>
      <x:c r="I145" s="20" t="str">
        <x:f>IF($A145="","",SUMIFS('Repeat Detail'!$N$6:$N$1005,'Repeat Detail'!$A$6:$A$1005,"Daily",'Repeat Detail'!$B$6:$B$1005,$A145))</x:f>
      </x:c>
      <x:c r="J145" s="20" t="str">
        <x:f>IF(A145="","",B145-C145)</x:f>
      </x:c>
    </x:row>
    <x:row r="146">
      <x:c r="A146" s="12" t="str">
        <x:f>IF(A145="","",IF(A145+1&gt;IF(AND(COUNTIF('Repeat Detail'!$A$6:$A$1005,"Quality")=21,COUNTIF('Repeat Detail'!$A$6:$A$1005,"Menu")=12,COUNTIF('Repeat Detail'!$A$6:$A$1005,"Daily")=SUMIFS('Repeat Detail'!$O$6:$O$1005,'Repeat Detail'!$A$6:$A$1005,"Quality",'Repeat Detail'!$H$6:$H$1005,"Date span")),SUMIFS('Repeat Detail'!$O$6:$O$1005,'Repeat Detail'!$A$6:$A$1005,"Quality",'Repeat Detail'!$H$6:$H$1005,"Last date"),NA()),"",A145+1))</x:f>
      </x:c>
      <x:c r="B146" s="20" t="str">
        <x:f>IF($A146="","",SUMIFS('Repeat Detail'!$I$6:$I$1005,'Repeat Detail'!$A$6:$A$1005,"Daily",'Repeat Detail'!$B$6:$B$1005,$A146))</x:f>
      </x:c>
      <x:c r="C146" s="20" t="str">
        <x:f>IF($A146="","",SUMIFS('Repeat Detail'!$J$6:$J$1005,'Repeat Detail'!$A$6:$A$1005,"Daily",'Repeat Detail'!$B$6:$B$1005,$A146))</x:f>
      </x:c>
      <x:c r="D146" s="20" t="str">
        <x:f>IF($A146="","",SUMIFS('Repeat Detail'!$K$6:$K$1005,'Repeat Detail'!$A$6:$A$1005,"Daily",'Repeat Detail'!$B$6:$B$1005,$A146))</x:f>
      </x:c>
      <x:c r="E146" s="20" t="str">
        <x:f>IF($A146="","",SUMIFS('Repeat Detail'!$L$6:$L$1005,'Repeat Detail'!$A$6:$A$1005,"Daily",'Repeat Detail'!$B$6:$B$1005,$A146))</x:f>
      </x:c>
      <x:c r="F146" s="22" t="str">
        <x:f>IF(A146="","",IF(D146=0,"n.a.",E146/D146))</x:f>
      </x:c>
      <x:c r="G146" s="20" t="str">
        <x:f>IF($A146="","",SUMIFS('Repeat Detail'!$M$6:$M$1005,'Repeat Detail'!$A$6:$A$1005,"Daily",'Repeat Detail'!$B$6:$B$1005,$A146))</x:f>
      </x:c>
      <x:c r="H146" s="22" t="str">
        <x:f>IF(A146="","",IF(C146=0,"n.a.",G146/C146))</x:f>
      </x:c>
      <x:c r="I146" s="20" t="str">
        <x:f>IF($A146="","",SUMIFS('Repeat Detail'!$N$6:$N$1005,'Repeat Detail'!$A$6:$A$1005,"Daily",'Repeat Detail'!$B$6:$B$1005,$A146))</x:f>
      </x:c>
      <x:c r="J146" s="20" t="str">
        <x:f>IF(A146="","",B146-C146)</x:f>
      </x:c>
    </x:row>
    <x:row r="147">
      <x:c r="A147" s="12" t="str">
        <x:f>IF(A146="","",IF(A146+1&gt;IF(AND(COUNTIF('Repeat Detail'!$A$6:$A$1005,"Quality")=21,COUNTIF('Repeat Detail'!$A$6:$A$1005,"Menu")=12,COUNTIF('Repeat Detail'!$A$6:$A$1005,"Daily")=SUMIFS('Repeat Detail'!$O$6:$O$1005,'Repeat Detail'!$A$6:$A$1005,"Quality",'Repeat Detail'!$H$6:$H$1005,"Date span")),SUMIFS('Repeat Detail'!$O$6:$O$1005,'Repeat Detail'!$A$6:$A$1005,"Quality",'Repeat Detail'!$H$6:$H$1005,"Last date"),NA()),"",A146+1))</x:f>
      </x:c>
      <x:c r="B147" s="20" t="str">
        <x:f>IF($A147="","",SUMIFS('Repeat Detail'!$I$6:$I$1005,'Repeat Detail'!$A$6:$A$1005,"Daily",'Repeat Detail'!$B$6:$B$1005,$A147))</x:f>
      </x:c>
      <x:c r="C147" s="20" t="str">
        <x:f>IF($A147="","",SUMIFS('Repeat Detail'!$J$6:$J$1005,'Repeat Detail'!$A$6:$A$1005,"Daily",'Repeat Detail'!$B$6:$B$1005,$A147))</x:f>
      </x:c>
      <x:c r="D147" s="20" t="str">
        <x:f>IF($A147="","",SUMIFS('Repeat Detail'!$K$6:$K$1005,'Repeat Detail'!$A$6:$A$1005,"Daily",'Repeat Detail'!$B$6:$B$1005,$A147))</x:f>
      </x:c>
      <x:c r="E147" s="20" t="str">
        <x:f>IF($A147="","",SUMIFS('Repeat Detail'!$L$6:$L$1005,'Repeat Detail'!$A$6:$A$1005,"Daily",'Repeat Detail'!$B$6:$B$1005,$A147))</x:f>
      </x:c>
      <x:c r="F147" s="22" t="str">
        <x:f>IF(A147="","",IF(D147=0,"n.a.",E147/D147))</x:f>
      </x:c>
      <x:c r="G147" s="20" t="str">
        <x:f>IF($A147="","",SUMIFS('Repeat Detail'!$M$6:$M$1005,'Repeat Detail'!$A$6:$A$1005,"Daily",'Repeat Detail'!$B$6:$B$1005,$A147))</x:f>
      </x:c>
      <x:c r="H147" s="22" t="str">
        <x:f>IF(A147="","",IF(C147=0,"n.a.",G147/C147))</x:f>
      </x:c>
      <x:c r="I147" s="20" t="str">
        <x:f>IF($A147="","",SUMIFS('Repeat Detail'!$N$6:$N$1005,'Repeat Detail'!$A$6:$A$1005,"Daily",'Repeat Detail'!$B$6:$B$1005,$A147))</x:f>
      </x:c>
      <x:c r="J147" s="20" t="str">
        <x:f>IF(A147="","",B147-C147)</x:f>
      </x:c>
    </x:row>
    <x:row r="148">
      <x:c r="A148" s="12" t="str">
        <x:f>IF(A147="","",IF(A147+1&gt;IF(AND(COUNTIF('Repeat Detail'!$A$6:$A$1005,"Quality")=21,COUNTIF('Repeat Detail'!$A$6:$A$1005,"Menu")=12,COUNTIF('Repeat Detail'!$A$6:$A$1005,"Daily")=SUMIFS('Repeat Detail'!$O$6:$O$1005,'Repeat Detail'!$A$6:$A$1005,"Quality",'Repeat Detail'!$H$6:$H$1005,"Date span")),SUMIFS('Repeat Detail'!$O$6:$O$1005,'Repeat Detail'!$A$6:$A$1005,"Quality",'Repeat Detail'!$H$6:$H$1005,"Last date"),NA()),"",A147+1))</x:f>
      </x:c>
      <x:c r="B148" s="20" t="str">
        <x:f>IF($A148="","",SUMIFS('Repeat Detail'!$I$6:$I$1005,'Repeat Detail'!$A$6:$A$1005,"Daily",'Repeat Detail'!$B$6:$B$1005,$A148))</x:f>
      </x:c>
      <x:c r="C148" s="20" t="str">
        <x:f>IF($A148="","",SUMIFS('Repeat Detail'!$J$6:$J$1005,'Repeat Detail'!$A$6:$A$1005,"Daily",'Repeat Detail'!$B$6:$B$1005,$A148))</x:f>
      </x:c>
      <x:c r="D148" s="20" t="str">
        <x:f>IF($A148="","",SUMIFS('Repeat Detail'!$K$6:$K$1005,'Repeat Detail'!$A$6:$A$1005,"Daily",'Repeat Detail'!$B$6:$B$1005,$A148))</x:f>
      </x:c>
      <x:c r="E148" s="20" t="str">
        <x:f>IF($A148="","",SUMIFS('Repeat Detail'!$L$6:$L$1005,'Repeat Detail'!$A$6:$A$1005,"Daily",'Repeat Detail'!$B$6:$B$1005,$A148))</x:f>
      </x:c>
      <x:c r="F148" s="22" t="str">
        <x:f>IF(A148="","",IF(D148=0,"n.a.",E148/D148))</x:f>
      </x:c>
      <x:c r="G148" s="20" t="str">
        <x:f>IF($A148="","",SUMIFS('Repeat Detail'!$M$6:$M$1005,'Repeat Detail'!$A$6:$A$1005,"Daily",'Repeat Detail'!$B$6:$B$1005,$A148))</x:f>
      </x:c>
      <x:c r="H148" s="22" t="str">
        <x:f>IF(A148="","",IF(C148=0,"n.a.",G148/C148))</x:f>
      </x:c>
      <x:c r="I148" s="20" t="str">
        <x:f>IF($A148="","",SUMIFS('Repeat Detail'!$N$6:$N$1005,'Repeat Detail'!$A$6:$A$1005,"Daily",'Repeat Detail'!$B$6:$B$1005,$A148))</x:f>
      </x:c>
      <x:c r="J148" s="20" t="str">
        <x:f>IF(A148="","",B148-C148)</x:f>
      </x:c>
    </x:row>
    <x:row r="149">
      <x:c r="A149" s="12" t="str">
        <x:f>IF(A148="","",IF(A148+1&gt;IF(AND(COUNTIF('Repeat Detail'!$A$6:$A$1005,"Quality")=21,COUNTIF('Repeat Detail'!$A$6:$A$1005,"Menu")=12,COUNTIF('Repeat Detail'!$A$6:$A$1005,"Daily")=SUMIFS('Repeat Detail'!$O$6:$O$1005,'Repeat Detail'!$A$6:$A$1005,"Quality",'Repeat Detail'!$H$6:$H$1005,"Date span")),SUMIFS('Repeat Detail'!$O$6:$O$1005,'Repeat Detail'!$A$6:$A$1005,"Quality",'Repeat Detail'!$H$6:$H$1005,"Last date"),NA()),"",A148+1))</x:f>
      </x:c>
      <x:c r="B149" s="20" t="str">
        <x:f>IF($A149="","",SUMIFS('Repeat Detail'!$I$6:$I$1005,'Repeat Detail'!$A$6:$A$1005,"Daily",'Repeat Detail'!$B$6:$B$1005,$A149))</x:f>
      </x:c>
      <x:c r="C149" s="20" t="str">
        <x:f>IF($A149="","",SUMIFS('Repeat Detail'!$J$6:$J$1005,'Repeat Detail'!$A$6:$A$1005,"Daily",'Repeat Detail'!$B$6:$B$1005,$A149))</x:f>
      </x:c>
      <x:c r="D149" s="20" t="str">
        <x:f>IF($A149="","",SUMIFS('Repeat Detail'!$K$6:$K$1005,'Repeat Detail'!$A$6:$A$1005,"Daily",'Repeat Detail'!$B$6:$B$1005,$A149))</x:f>
      </x:c>
      <x:c r="E149" s="20" t="str">
        <x:f>IF($A149="","",SUMIFS('Repeat Detail'!$L$6:$L$1005,'Repeat Detail'!$A$6:$A$1005,"Daily",'Repeat Detail'!$B$6:$B$1005,$A149))</x:f>
      </x:c>
      <x:c r="F149" s="22" t="str">
        <x:f>IF(A149="","",IF(D149=0,"n.a.",E149/D149))</x:f>
      </x:c>
      <x:c r="G149" s="20" t="str">
        <x:f>IF($A149="","",SUMIFS('Repeat Detail'!$M$6:$M$1005,'Repeat Detail'!$A$6:$A$1005,"Daily",'Repeat Detail'!$B$6:$B$1005,$A149))</x:f>
      </x:c>
      <x:c r="H149" s="22" t="str">
        <x:f>IF(A149="","",IF(C149=0,"n.a.",G149/C149))</x:f>
      </x:c>
      <x:c r="I149" s="20" t="str">
        <x:f>IF($A149="","",SUMIFS('Repeat Detail'!$N$6:$N$1005,'Repeat Detail'!$A$6:$A$1005,"Daily",'Repeat Detail'!$B$6:$B$1005,$A149))</x:f>
      </x:c>
      <x:c r="J149" s="20" t="str">
        <x:f>IF(A149="","",B149-C149)</x:f>
      </x:c>
    </x:row>
    <x:row r="150">
      <x:c r="A150" s="12" t="str">
        <x:f>IF(A149="","",IF(A149+1&gt;IF(AND(COUNTIF('Repeat Detail'!$A$6:$A$1005,"Quality")=21,COUNTIF('Repeat Detail'!$A$6:$A$1005,"Menu")=12,COUNTIF('Repeat Detail'!$A$6:$A$1005,"Daily")=SUMIFS('Repeat Detail'!$O$6:$O$1005,'Repeat Detail'!$A$6:$A$1005,"Quality",'Repeat Detail'!$H$6:$H$1005,"Date span")),SUMIFS('Repeat Detail'!$O$6:$O$1005,'Repeat Detail'!$A$6:$A$1005,"Quality",'Repeat Detail'!$H$6:$H$1005,"Last date"),NA()),"",A149+1))</x:f>
      </x:c>
      <x:c r="B150" s="20" t="str">
        <x:f>IF($A150="","",SUMIFS('Repeat Detail'!$I$6:$I$1005,'Repeat Detail'!$A$6:$A$1005,"Daily",'Repeat Detail'!$B$6:$B$1005,$A150))</x:f>
      </x:c>
      <x:c r="C150" s="20" t="str">
        <x:f>IF($A150="","",SUMIFS('Repeat Detail'!$J$6:$J$1005,'Repeat Detail'!$A$6:$A$1005,"Daily",'Repeat Detail'!$B$6:$B$1005,$A150))</x:f>
      </x:c>
      <x:c r="D150" s="20" t="str">
        <x:f>IF($A150="","",SUMIFS('Repeat Detail'!$K$6:$K$1005,'Repeat Detail'!$A$6:$A$1005,"Daily",'Repeat Detail'!$B$6:$B$1005,$A150))</x:f>
      </x:c>
      <x:c r="E150" s="20" t="str">
        <x:f>IF($A150="","",SUMIFS('Repeat Detail'!$L$6:$L$1005,'Repeat Detail'!$A$6:$A$1005,"Daily",'Repeat Detail'!$B$6:$B$1005,$A150))</x:f>
      </x:c>
      <x:c r="F150" s="22" t="str">
        <x:f>IF(A150="","",IF(D150=0,"n.a.",E150/D150))</x:f>
      </x:c>
      <x:c r="G150" s="20" t="str">
        <x:f>IF($A150="","",SUMIFS('Repeat Detail'!$M$6:$M$1005,'Repeat Detail'!$A$6:$A$1005,"Daily",'Repeat Detail'!$B$6:$B$1005,$A150))</x:f>
      </x:c>
      <x:c r="H150" s="22" t="str">
        <x:f>IF(A150="","",IF(C150=0,"n.a.",G150/C150))</x:f>
      </x:c>
      <x:c r="I150" s="20" t="str">
        <x:f>IF($A150="","",SUMIFS('Repeat Detail'!$N$6:$N$1005,'Repeat Detail'!$A$6:$A$1005,"Daily",'Repeat Detail'!$B$6:$B$1005,$A150))</x:f>
      </x:c>
      <x:c r="J150" s="20" t="str">
        <x:f>IF(A150="","",B150-C150)</x:f>
      </x:c>
    </x:row>
    <x:row r="151">
      <x:c r="A151" s="12" t="str">
        <x:f>IF(A150="","",IF(A150+1&gt;IF(AND(COUNTIF('Repeat Detail'!$A$6:$A$1005,"Quality")=21,COUNTIF('Repeat Detail'!$A$6:$A$1005,"Menu")=12,COUNTIF('Repeat Detail'!$A$6:$A$1005,"Daily")=SUMIFS('Repeat Detail'!$O$6:$O$1005,'Repeat Detail'!$A$6:$A$1005,"Quality",'Repeat Detail'!$H$6:$H$1005,"Date span")),SUMIFS('Repeat Detail'!$O$6:$O$1005,'Repeat Detail'!$A$6:$A$1005,"Quality",'Repeat Detail'!$H$6:$H$1005,"Last date"),NA()),"",A150+1))</x:f>
      </x:c>
      <x:c r="B151" s="20" t="str">
        <x:f>IF($A151="","",SUMIFS('Repeat Detail'!$I$6:$I$1005,'Repeat Detail'!$A$6:$A$1005,"Daily",'Repeat Detail'!$B$6:$B$1005,$A151))</x:f>
      </x:c>
      <x:c r="C151" s="20" t="str">
        <x:f>IF($A151="","",SUMIFS('Repeat Detail'!$J$6:$J$1005,'Repeat Detail'!$A$6:$A$1005,"Daily",'Repeat Detail'!$B$6:$B$1005,$A151))</x:f>
      </x:c>
      <x:c r="D151" s="20" t="str">
        <x:f>IF($A151="","",SUMIFS('Repeat Detail'!$K$6:$K$1005,'Repeat Detail'!$A$6:$A$1005,"Daily",'Repeat Detail'!$B$6:$B$1005,$A151))</x:f>
      </x:c>
      <x:c r="E151" s="20" t="str">
        <x:f>IF($A151="","",SUMIFS('Repeat Detail'!$L$6:$L$1005,'Repeat Detail'!$A$6:$A$1005,"Daily",'Repeat Detail'!$B$6:$B$1005,$A151))</x:f>
      </x:c>
      <x:c r="F151" s="22" t="str">
        <x:f>IF(A151="","",IF(D151=0,"n.a.",E151/D151))</x:f>
      </x:c>
      <x:c r="G151" s="20" t="str">
        <x:f>IF($A151="","",SUMIFS('Repeat Detail'!$M$6:$M$1005,'Repeat Detail'!$A$6:$A$1005,"Daily",'Repeat Detail'!$B$6:$B$1005,$A151))</x:f>
      </x:c>
      <x:c r="H151" s="22" t="str">
        <x:f>IF(A151="","",IF(C151=0,"n.a.",G151/C151))</x:f>
      </x:c>
      <x:c r="I151" s="20" t="str">
        <x:f>IF($A151="","",SUMIFS('Repeat Detail'!$N$6:$N$1005,'Repeat Detail'!$A$6:$A$1005,"Daily",'Repeat Detail'!$B$6:$B$1005,$A151))</x:f>
      </x:c>
      <x:c r="J151" s="20" t="str">
        <x:f>IF(A151="","",B151-C151)</x:f>
      </x:c>
    </x:row>
    <x:row r="152">
      <x:c r="A152" s="12" t="str">
        <x:f>IF(A151="","",IF(A151+1&gt;IF(AND(COUNTIF('Repeat Detail'!$A$6:$A$1005,"Quality")=21,COUNTIF('Repeat Detail'!$A$6:$A$1005,"Menu")=12,COUNTIF('Repeat Detail'!$A$6:$A$1005,"Daily")=SUMIFS('Repeat Detail'!$O$6:$O$1005,'Repeat Detail'!$A$6:$A$1005,"Quality",'Repeat Detail'!$H$6:$H$1005,"Date span")),SUMIFS('Repeat Detail'!$O$6:$O$1005,'Repeat Detail'!$A$6:$A$1005,"Quality",'Repeat Detail'!$H$6:$H$1005,"Last date"),NA()),"",A151+1))</x:f>
      </x:c>
      <x:c r="B152" s="20" t="str">
        <x:f>IF($A152="","",SUMIFS('Repeat Detail'!$I$6:$I$1005,'Repeat Detail'!$A$6:$A$1005,"Daily",'Repeat Detail'!$B$6:$B$1005,$A152))</x:f>
      </x:c>
      <x:c r="C152" s="20" t="str">
        <x:f>IF($A152="","",SUMIFS('Repeat Detail'!$J$6:$J$1005,'Repeat Detail'!$A$6:$A$1005,"Daily",'Repeat Detail'!$B$6:$B$1005,$A152))</x:f>
      </x:c>
      <x:c r="D152" s="20" t="str">
        <x:f>IF($A152="","",SUMIFS('Repeat Detail'!$K$6:$K$1005,'Repeat Detail'!$A$6:$A$1005,"Daily",'Repeat Detail'!$B$6:$B$1005,$A152))</x:f>
      </x:c>
      <x:c r="E152" s="20" t="str">
        <x:f>IF($A152="","",SUMIFS('Repeat Detail'!$L$6:$L$1005,'Repeat Detail'!$A$6:$A$1005,"Daily",'Repeat Detail'!$B$6:$B$1005,$A152))</x:f>
      </x:c>
      <x:c r="F152" s="22" t="str">
        <x:f>IF(A152="","",IF(D152=0,"n.a.",E152/D152))</x:f>
      </x:c>
      <x:c r="G152" s="20" t="str">
        <x:f>IF($A152="","",SUMIFS('Repeat Detail'!$M$6:$M$1005,'Repeat Detail'!$A$6:$A$1005,"Daily",'Repeat Detail'!$B$6:$B$1005,$A152))</x:f>
      </x:c>
      <x:c r="H152" s="22" t="str">
        <x:f>IF(A152="","",IF(C152=0,"n.a.",G152/C152))</x:f>
      </x:c>
      <x:c r="I152" s="20" t="str">
        <x:f>IF($A152="","",SUMIFS('Repeat Detail'!$N$6:$N$1005,'Repeat Detail'!$A$6:$A$1005,"Daily",'Repeat Detail'!$B$6:$B$1005,$A152))</x:f>
      </x:c>
      <x:c r="J152" s="20" t="str">
        <x:f>IF(A152="","",B152-C152)</x:f>
      </x:c>
    </x:row>
    <x:row r="153">
      <x:c r="A153" s="12" t="str">
        <x:f>IF(A152="","",IF(A152+1&gt;IF(AND(COUNTIF('Repeat Detail'!$A$6:$A$1005,"Quality")=21,COUNTIF('Repeat Detail'!$A$6:$A$1005,"Menu")=12,COUNTIF('Repeat Detail'!$A$6:$A$1005,"Daily")=SUMIFS('Repeat Detail'!$O$6:$O$1005,'Repeat Detail'!$A$6:$A$1005,"Quality",'Repeat Detail'!$H$6:$H$1005,"Date span")),SUMIFS('Repeat Detail'!$O$6:$O$1005,'Repeat Detail'!$A$6:$A$1005,"Quality",'Repeat Detail'!$H$6:$H$1005,"Last date"),NA()),"",A152+1))</x:f>
      </x:c>
      <x:c r="B153" s="20" t="str">
        <x:f>IF($A153="","",SUMIFS('Repeat Detail'!$I$6:$I$1005,'Repeat Detail'!$A$6:$A$1005,"Daily",'Repeat Detail'!$B$6:$B$1005,$A153))</x:f>
      </x:c>
      <x:c r="C153" s="20" t="str">
        <x:f>IF($A153="","",SUMIFS('Repeat Detail'!$J$6:$J$1005,'Repeat Detail'!$A$6:$A$1005,"Daily",'Repeat Detail'!$B$6:$B$1005,$A153))</x:f>
      </x:c>
      <x:c r="D153" s="20" t="str">
        <x:f>IF($A153="","",SUMIFS('Repeat Detail'!$K$6:$K$1005,'Repeat Detail'!$A$6:$A$1005,"Daily",'Repeat Detail'!$B$6:$B$1005,$A153))</x:f>
      </x:c>
      <x:c r="E153" s="20" t="str">
        <x:f>IF($A153="","",SUMIFS('Repeat Detail'!$L$6:$L$1005,'Repeat Detail'!$A$6:$A$1005,"Daily",'Repeat Detail'!$B$6:$B$1005,$A153))</x:f>
      </x:c>
      <x:c r="F153" s="22" t="str">
        <x:f>IF(A153="","",IF(D153=0,"n.a.",E153/D153))</x:f>
      </x:c>
      <x:c r="G153" s="20" t="str">
        <x:f>IF($A153="","",SUMIFS('Repeat Detail'!$M$6:$M$1005,'Repeat Detail'!$A$6:$A$1005,"Daily",'Repeat Detail'!$B$6:$B$1005,$A153))</x:f>
      </x:c>
      <x:c r="H153" s="22" t="str">
        <x:f>IF(A153="","",IF(C153=0,"n.a.",G153/C153))</x:f>
      </x:c>
      <x:c r="I153" s="20" t="str">
        <x:f>IF($A153="","",SUMIFS('Repeat Detail'!$N$6:$N$1005,'Repeat Detail'!$A$6:$A$1005,"Daily",'Repeat Detail'!$B$6:$B$1005,$A153))</x:f>
      </x:c>
      <x:c r="J153" s="20" t="str">
        <x:f>IF(A153="","",B153-C153)</x:f>
      </x:c>
    </x:row>
    <x:row r="154">
      <x:c r="A154" s="12" t="str">
        <x:f>IF(A153="","",IF(A153+1&gt;IF(AND(COUNTIF('Repeat Detail'!$A$6:$A$1005,"Quality")=21,COUNTIF('Repeat Detail'!$A$6:$A$1005,"Menu")=12,COUNTIF('Repeat Detail'!$A$6:$A$1005,"Daily")=SUMIFS('Repeat Detail'!$O$6:$O$1005,'Repeat Detail'!$A$6:$A$1005,"Quality",'Repeat Detail'!$H$6:$H$1005,"Date span")),SUMIFS('Repeat Detail'!$O$6:$O$1005,'Repeat Detail'!$A$6:$A$1005,"Quality",'Repeat Detail'!$H$6:$H$1005,"Last date"),NA()),"",A153+1))</x:f>
      </x:c>
      <x:c r="B154" s="20" t="str">
        <x:f>IF($A154="","",SUMIFS('Repeat Detail'!$I$6:$I$1005,'Repeat Detail'!$A$6:$A$1005,"Daily",'Repeat Detail'!$B$6:$B$1005,$A154))</x:f>
      </x:c>
      <x:c r="C154" s="20" t="str">
        <x:f>IF($A154="","",SUMIFS('Repeat Detail'!$J$6:$J$1005,'Repeat Detail'!$A$6:$A$1005,"Daily",'Repeat Detail'!$B$6:$B$1005,$A154))</x:f>
      </x:c>
      <x:c r="D154" s="20" t="str">
        <x:f>IF($A154="","",SUMIFS('Repeat Detail'!$K$6:$K$1005,'Repeat Detail'!$A$6:$A$1005,"Daily",'Repeat Detail'!$B$6:$B$1005,$A154))</x:f>
      </x:c>
      <x:c r="E154" s="20" t="str">
        <x:f>IF($A154="","",SUMIFS('Repeat Detail'!$L$6:$L$1005,'Repeat Detail'!$A$6:$A$1005,"Daily",'Repeat Detail'!$B$6:$B$1005,$A154))</x:f>
      </x:c>
      <x:c r="F154" s="22" t="str">
        <x:f>IF(A154="","",IF(D154=0,"n.a.",E154/D154))</x:f>
      </x:c>
      <x:c r="G154" s="20" t="str">
        <x:f>IF($A154="","",SUMIFS('Repeat Detail'!$M$6:$M$1005,'Repeat Detail'!$A$6:$A$1005,"Daily",'Repeat Detail'!$B$6:$B$1005,$A154))</x:f>
      </x:c>
      <x:c r="H154" s="22" t="str">
        <x:f>IF(A154="","",IF(C154=0,"n.a.",G154/C154))</x:f>
      </x:c>
      <x:c r="I154" s="20" t="str">
        <x:f>IF($A154="","",SUMIFS('Repeat Detail'!$N$6:$N$1005,'Repeat Detail'!$A$6:$A$1005,"Daily",'Repeat Detail'!$B$6:$B$1005,$A154))</x:f>
      </x:c>
      <x:c r="J154" s="20" t="str">
        <x:f>IF(A154="","",B154-C154)</x:f>
      </x:c>
    </x:row>
    <x:row r="155">
      <x:c r="A155" s="12" t="str">
        <x:f>IF(A154="","",IF(A154+1&gt;IF(AND(COUNTIF('Repeat Detail'!$A$6:$A$1005,"Quality")=21,COUNTIF('Repeat Detail'!$A$6:$A$1005,"Menu")=12,COUNTIF('Repeat Detail'!$A$6:$A$1005,"Daily")=SUMIFS('Repeat Detail'!$O$6:$O$1005,'Repeat Detail'!$A$6:$A$1005,"Quality",'Repeat Detail'!$H$6:$H$1005,"Date span")),SUMIFS('Repeat Detail'!$O$6:$O$1005,'Repeat Detail'!$A$6:$A$1005,"Quality",'Repeat Detail'!$H$6:$H$1005,"Last date"),NA()),"",A154+1))</x:f>
      </x:c>
      <x:c r="B155" s="20" t="str">
        <x:f>IF($A155="","",SUMIFS('Repeat Detail'!$I$6:$I$1005,'Repeat Detail'!$A$6:$A$1005,"Daily",'Repeat Detail'!$B$6:$B$1005,$A155))</x:f>
      </x:c>
      <x:c r="C155" s="20" t="str">
        <x:f>IF($A155="","",SUMIFS('Repeat Detail'!$J$6:$J$1005,'Repeat Detail'!$A$6:$A$1005,"Daily",'Repeat Detail'!$B$6:$B$1005,$A155))</x:f>
      </x:c>
      <x:c r="D155" s="20" t="str">
        <x:f>IF($A155="","",SUMIFS('Repeat Detail'!$K$6:$K$1005,'Repeat Detail'!$A$6:$A$1005,"Daily",'Repeat Detail'!$B$6:$B$1005,$A155))</x:f>
      </x:c>
      <x:c r="E155" s="20" t="str">
        <x:f>IF($A155="","",SUMIFS('Repeat Detail'!$L$6:$L$1005,'Repeat Detail'!$A$6:$A$1005,"Daily",'Repeat Detail'!$B$6:$B$1005,$A155))</x:f>
      </x:c>
      <x:c r="F155" s="22" t="str">
        <x:f>IF(A155="","",IF(D155=0,"n.a.",E155/D155))</x:f>
      </x:c>
      <x:c r="G155" s="20" t="str">
        <x:f>IF($A155="","",SUMIFS('Repeat Detail'!$M$6:$M$1005,'Repeat Detail'!$A$6:$A$1005,"Daily",'Repeat Detail'!$B$6:$B$1005,$A155))</x:f>
      </x:c>
      <x:c r="H155" s="22" t="str">
        <x:f>IF(A155="","",IF(C155=0,"n.a.",G155/C155))</x:f>
      </x:c>
      <x:c r="I155" s="20" t="str">
        <x:f>IF($A155="","",SUMIFS('Repeat Detail'!$N$6:$N$1005,'Repeat Detail'!$A$6:$A$1005,"Daily",'Repeat Detail'!$B$6:$B$1005,$A155))</x:f>
      </x:c>
      <x:c r="J155" s="20" t="str">
        <x:f>IF(A155="","",B155-C155)</x:f>
      </x:c>
    </x:row>
    <x:row r="156">
      <x:c r="A156" s="12" t="str">
        <x:f>IF(A155="","",IF(A155+1&gt;IF(AND(COUNTIF('Repeat Detail'!$A$6:$A$1005,"Quality")=21,COUNTIF('Repeat Detail'!$A$6:$A$1005,"Menu")=12,COUNTIF('Repeat Detail'!$A$6:$A$1005,"Daily")=SUMIFS('Repeat Detail'!$O$6:$O$1005,'Repeat Detail'!$A$6:$A$1005,"Quality",'Repeat Detail'!$H$6:$H$1005,"Date span")),SUMIFS('Repeat Detail'!$O$6:$O$1005,'Repeat Detail'!$A$6:$A$1005,"Quality",'Repeat Detail'!$H$6:$H$1005,"Last date"),NA()),"",A155+1))</x:f>
      </x:c>
      <x:c r="B156" s="20" t="str">
        <x:f>IF($A156="","",SUMIFS('Repeat Detail'!$I$6:$I$1005,'Repeat Detail'!$A$6:$A$1005,"Daily",'Repeat Detail'!$B$6:$B$1005,$A156))</x:f>
      </x:c>
      <x:c r="C156" s="20" t="str">
        <x:f>IF($A156="","",SUMIFS('Repeat Detail'!$J$6:$J$1005,'Repeat Detail'!$A$6:$A$1005,"Daily",'Repeat Detail'!$B$6:$B$1005,$A156))</x:f>
      </x:c>
      <x:c r="D156" s="20" t="str">
        <x:f>IF($A156="","",SUMIFS('Repeat Detail'!$K$6:$K$1005,'Repeat Detail'!$A$6:$A$1005,"Daily",'Repeat Detail'!$B$6:$B$1005,$A156))</x:f>
      </x:c>
      <x:c r="E156" s="20" t="str">
        <x:f>IF($A156="","",SUMIFS('Repeat Detail'!$L$6:$L$1005,'Repeat Detail'!$A$6:$A$1005,"Daily",'Repeat Detail'!$B$6:$B$1005,$A156))</x:f>
      </x:c>
      <x:c r="F156" s="22" t="str">
        <x:f>IF(A156="","",IF(D156=0,"n.a.",E156/D156))</x:f>
      </x:c>
      <x:c r="G156" s="20" t="str">
        <x:f>IF($A156="","",SUMIFS('Repeat Detail'!$M$6:$M$1005,'Repeat Detail'!$A$6:$A$1005,"Daily",'Repeat Detail'!$B$6:$B$1005,$A156))</x:f>
      </x:c>
      <x:c r="H156" s="22" t="str">
        <x:f>IF(A156="","",IF(C156=0,"n.a.",G156/C156))</x:f>
      </x:c>
      <x:c r="I156" s="20" t="str">
        <x:f>IF($A156="","",SUMIFS('Repeat Detail'!$N$6:$N$1005,'Repeat Detail'!$A$6:$A$1005,"Daily",'Repeat Detail'!$B$6:$B$1005,$A156))</x:f>
      </x:c>
      <x:c r="J156" s="20" t="str">
        <x:f>IF(A156="","",B156-C156)</x:f>
      </x:c>
    </x:row>
    <x:row r="157">
      <x:c r="A157" s="12" t="str">
        <x:f>IF(A156="","",IF(A156+1&gt;IF(AND(COUNTIF('Repeat Detail'!$A$6:$A$1005,"Quality")=21,COUNTIF('Repeat Detail'!$A$6:$A$1005,"Menu")=12,COUNTIF('Repeat Detail'!$A$6:$A$1005,"Daily")=SUMIFS('Repeat Detail'!$O$6:$O$1005,'Repeat Detail'!$A$6:$A$1005,"Quality",'Repeat Detail'!$H$6:$H$1005,"Date span")),SUMIFS('Repeat Detail'!$O$6:$O$1005,'Repeat Detail'!$A$6:$A$1005,"Quality",'Repeat Detail'!$H$6:$H$1005,"Last date"),NA()),"",A156+1))</x:f>
      </x:c>
      <x:c r="B157" s="20" t="str">
        <x:f>IF($A157="","",SUMIFS('Repeat Detail'!$I$6:$I$1005,'Repeat Detail'!$A$6:$A$1005,"Daily",'Repeat Detail'!$B$6:$B$1005,$A157))</x:f>
      </x:c>
      <x:c r="C157" s="20" t="str">
        <x:f>IF($A157="","",SUMIFS('Repeat Detail'!$J$6:$J$1005,'Repeat Detail'!$A$6:$A$1005,"Daily",'Repeat Detail'!$B$6:$B$1005,$A157))</x:f>
      </x:c>
      <x:c r="D157" s="20" t="str">
        <x:f>IF($A157="","",SUMIFS('Repeat Detail'!$K$6:$K$1005,'Repeat Detail'!$A$6:$A$1005,"Daily",'Repeat Detail'!$B$6:$B$1005,$A157))</x:f>
      </x:c>
      <x:c r="E157" s="20" t="str">
        <x:f>IF($A157="","",SUMIFS('Repeat Detail'!$L$6:$L$1005,'Repeat Detail'!$A$6:$A$1005,"Daily",'Repeat Detail'!$B$6:$B$1005,$A157))</x:f>
      </x:c>
      <x:c r="F157" s="22" t="str">
        <x:f>IF(A157="","",IF(D157=0,"n.a.",E157/D157))</x:f>
      </x:c>
      <x:c r="G157" s="20" t="str">
        <x:f>IF($A157="","",SUMIFS('Repeat Detail'!$M$6:$M$1005,'Repeat Detail'!$A$6:$A$1005,"Daily",'Repeat Detail'!$B$6:$B$1005,$A157))</x:f>
      </x:c>
      <x:c r="H157" s="22" t="str">
        <x:f>IF(A157="","",IF(C157=0,"n.a.",G157/C157))</x:f>
      </x:c>
      <x:c r="I157" s="20" t="str">
        <x:f>IF($A157="","",SUMIFS('Repeat Detail'!$N$6:$N$1005,'Repeat Detail'!$A$6:$A$1005,"Daily",'Repeat Detail'!$B$6:$B$1005,$A157))</x:f>
      </x:c>
      <x:c r="J157" s="20" t="str">
        <x:f>IF(A157="","",B157-C157)</x:f>
      </x:c>
    </x:row>
    <x:row r="158">
      <x:c r="A158" s="12" t="str">
        <x:f>IF(A157="","",IF(A157+1&gt;IF(AND(COUNTIF('Repeat Detail'!$A$6:$A$1005,"Quality")=21,COUNTIF('Repeat Detail'!$A$6:$A$1005,"Menu")=12,COUNTIF('Repeat Detail'!$A$6:$A$1005,"Daily")=SUMIFS('Repeat Detail'!$O$6:$O$1005,'Repeat Detail'!$A$6:$A$1005,"Quality",'Repeat Detail'!$H$6:$H$1005,"Date span")),SUMIFS('Repeat Detail'!$O$6:$O$1005,'Repeat Detail'!$A$6:$A$1005,"Quality",'Repeat Detail'!$H$6:$H$1005,"Last date"),NA()),"",A157+1))</x:f>
      </x:c>
      <x:c r="B158" s="20" t="str">
        <x:f>IF($A158="","",SUMIFS('Repeat Detail'!$I$6:$I$1005,'Repeat Detail'!$A$6:$A$1005,"Daily",'Repeat Detail'!$B$6:$B$1005,$A158))</x:f>
      </x:c>
      <x:c r="C158" s="20" t="str">
        <x:f>IF($A158="","",SUMIFS('Repeat Detail'!$J$6:$J$1005,'Repeat Detail'!$A$6:$A$1005,"Daily",'Repeat Detail'!$B$6:$B$1005,$A158))</x:f>
      </x:c>
      <x:c r="D158" s="20" t="str">
        <x:f>IF($A158="","",SUMIFS('Repeat Detail'!$K$6:$K$1005,'Repeat Detail'!$A$6:$A$1005,"Daily",'Repeat Detail'!$B$6:$B$1005,$A158))</x:f>
      </x:c>
      <x:c r="E158" s="20" t="str">
        <x:f>IF($A158="","",SUMIFS('Repeat Detail'!$L$6:$L$1005,'Repeat Detail'!$A$6:$A$1005,"Daily",'Repeat Detail'!$B$6:$B$1005,$A158))</x:f>
      </x:c>
      <x:c r="F158" s="22" t="str">
        <x:f>IF(A158="","",IF(D158=0,"n.a.",E158/D158))</x:f>
      </x:c>
      <x:c r="G158" s="20" t="str">
        <x:f>IF($A158="","",SUMIFS('Repeat Detail'!$M$6:$M$1005,'Repeat Detail'!$A$6:$A$1005,"Daily",'Repeat Detail'!$B$6:$B$1005,$A158))</x:f>
      </x:c>
      <x:c r="H158" s="22" t="str">
        <x:f>IF(A158="","",IF(C158=0,"n.a.",G158/C158))</x:f>
      </x:c>
      <x:c r="I158" s="20" t="str">
        <x:f>IF($A158="","",SUMIFS('Repeat Detail'!$N$6:$N$1005,'Repeat Detail'!$A$6:$A$1005,"Daily",'Repeat Detail'!$B$6:$B$1005,$A158))</x:f>
      </x:c>
      <x:c r="J158" s="20" t="str">
        <x:f>IF(A158="","",B158-C158)</x:f>
      </x:c>
    </x:row>
    <x:row r="159">
      <x:c r="A159" s="12" t="str">
        <x:f>IF(A158="","",IF(A158+1&gt;IF(AND(COUNTIF('Repeat Detail'!$A$6:$A$1005,"Quality")=21,COUNTIF('Repeat Detail'!$A$6:$A$1005,"Menu")=12,COUNTIF('Repeat Detail'!$A$6:$A$1005,"Daily")=SUMIFS('Repeat Detail'!$O$6:$O$1005,'Repeat Detail'!$A$6:$A$1005,"Quality",'Repeat Detail'!$H$6:$H$1005,"Date span")),SUMIFS('Repeat Detail'!$O$6:$O$1005,'Repeat Detail'!$A$6:$A$1005,"Quality",'Repeat Detail'!$H$6:$H$1005,"Last date"),NA()),"",A158+1))</x:f>
      </x:c>
      <x:c r="B159" s="20" t="str">
        <x:f>IF($A159="","",SUMIFS('Repeat Detail'!$I$6:$I$1005,'Repeat Detail'!$A$6:$A$1005,"Daily",'Repeat Detail'!$B$6:$B$1005,$A159))</x:f>
      </x:c>
      <x:c r="C159" s="20" t="str">
        <x:f>IF($A159="","",SUMIFS('Repeat Detail'!$J$6:$J$1005,'Repeat Detail'!$A$6:$A$1005,"Daily",'Repeat Detail'!$B$6:$B$1005,$A159))</x:f>
      </x:c>
      <x:c r="D159" s="20" t="str">
        <x:f>IF($A159="","",SUMIFS('Repeat Detail'!$K$6:$K$1005,'Repeat Detail'!$A$6:$A$1005,"Daily",'Repeat Detail'!$B$6:$B$1005,$A159))</x:f>
      </x:c>
      <x:c r="E159" s="20" t="str">
        <x:f>IF($A159="","",SUMIFS('Repeat Detail'!$L$6:$L$1005,'Repeat Detail'!$A$6:$A$1005,"Daily",'Repeat Detail'!$B$6:$B$1005,$A159))</x:f>
      </x:c>
      <x:c r="F159" s="22" t="str">
        <x:f>IF(A159="","",IF(D159=0,"n.a.",E159/D159))</x:f>
      </x:c>
      <x:c r="G159" s="20" t="str">
        <x:f>IF($A159="","",SUMIFS('Repeat Detail'!$M$6:$M$1005,'Repeat Detail'!$A$6:$A$1005,"Daily",'Repeat Detail'!$B$6:$B$1005,$A159))</x:f>
      </x:c>
      <x:c r="H159" s="22" t="str">
        <x:f>IF(A159="","",IF(C159=0,"n.a.",G159/C159))</x:f>
      </x:c>
      <x:c r="I159" s="20" t="str">
        <x:f>IF($A159="","",SUMIFS('Repeat Detail'!$N$6:$N$1005,'Repeat Detail'!$A$6:$A$1005,"Daily",'Repeat Detail'!$B$6:$B$1005,$A159))</x:f>
      </x:c>
      <x:c r="J159" s="20" t="str">
        <x:f>IF(A159="","",B159-C159)</x:f>
      </x:c>
    </x:row>
    <x:row r="160">
      <x:c r="A160" s="12" t="str">
        <x:f>IF(A159="","",IF(A159+1&gt;IF(AND(COUNTIF('Repeat Detail'!$A$6:$A$1005,"Quality")=21,COUNTIF('Repeat Detail'!$A$6:$A$1005,"Menu")=12,COUNTIF('Repeat Detail'!$A$6:$A$1005,"Daily")=SUMIFS('Repeat Detail'!$O$6:$O$1005,'Repeat Detail'!$A$6:$A$1005,"Quality",'Repeat Detail'!$H$6:$H$1005,"Date span")),SUMIFS('Repeat Detail'!$O$6:$O$1005,'Repeat Detail'!$A$6:$A$1005,"Quality",'Repeat Detail'!$H$6:$H$1005,"Last date"),NA()),"",A159+1))</x:f>
      </x:c>
      <x:c r="B160" s="20" t="str">
        <x:f>IF($A160="","",SUMIFS('Repeat Detail'!$I$6:$I$1005,'Repeat Detail'!$A$6:$A$1005,"Daily",'Repeat Detail'!$B$6:$B$1005,$A160))</x:f>
      </x:c>
      <x:c r="C160" s="20" t="str">
        <x:f>IF($A160="","",SUMIFS('Repeat Detail'!$J$6:$J$1005,'Repeat Detail'!$A$6:$A$1005,"Daily",'Repeat Detail'!$B$6:$B$1005,$A160))</x:f>
      </x:c>
      <x:c r="D160" s="20" t="str">
        <x:f>IF($A160="","",SUMIFS('Repeat Detail'!$K$6:$K$1005,'Repeat Detail'!$A$6:$A$1005,"Daily",'Repeat Detail'!$B$6:$B$1005,$A160))</x:f>
      </x:c>
      <x:c r="E160" s="20" t="str">
        <x:f>IF($A160="","",SUMIFS('Repeat Detail'!$L$6:$L$1005,'Repeat Detail'!$A$6:$A$1005,"Daily",'Repeat Detail'!$B$6:$B$1005,$A160))</x:f>
      </x:c>
      <x:c r="F160" s="22" t="str">
        <x:f>IF(A160="","",IF(D160=0,"n.a.",E160/D160))</x:f>
      </x:c>
      <x:c r="G160" s="20" t="str">
        <x:f>IF($A160="","",SUMIFS('Repeat Detail'!$M$6:$M$1005,'Repeat Detail'!$A$6:$A$1005,"Daily",'Repeat Detail'!$B$6:$B$1005,$A160))</x:f>
      </x:c>
      <x:c r="H160" s="22" t="str">
        <x:f>IF(A160="","",IF(C160=0,"n.a.",G160/C160))</x:f>
      </x:c>
      <x:c r="I160" s="20" t="str">
        <x:f>IF($A160="","",SUMIFS('Repeat Detail'!$N$6:$N$1005,'Repeat Detail'!$A$6:$A$1005,"Daily",'Repeat Detail'!$B$6:$B$1005,$A160))</x:f>
      </x:c>
      <x:c r="J160" s="20" t="str">
        <x:f>IF(A160="","",B160-C160)</x:f>
      </x:c>
    </x:row>
    <x:row r="161">
      <x:c r="A161" s="12" t="str">
        <x:f>IF(A160="","",IF(A160+1&gt;IF(AND(COUNTIF('Repeat Detail'!$A$6:$A$1005,"Quality")=21,COUNTIF('Repeat Detail'!$A$6:$A$1005,"Menu")=12,COUNTIF('Repeat Detail'!$A$6:$A$1005,"Daily")=SUMIFS('Repeat Detail'!$O$6:$O$1005,'Repeat Detail'!$A$6:$A$1005,"Quality",'Repeat Detail'!$H$6:$H$1005,"Date span")),SUMIFS('Repeat Detail'!$O$6:$O$1005,'Repeat Detail'!$A$6:$A$1005,"Quality",'Repeat Detail'!$H$6:$H$1005,"Last date"),NA()),"",A160+1))</x:f>
      </x:c>
      <x:c r="B161" s="20" t="str">
        <x:f>IF($A161="","",SUMIFS('Repeat Detail'!$I$6:$I$1005,'Repeat Detail'!$A$6:$A$1005,"Daily",'Repeat Detail'!$B$6:$B$1005,$A161))</x:f>
      </x:c>
      <x:c r="C161" s="20" t="str">
        <x:f>IF($A161="","",SUMIFS('Repeat Detail'!$J$6:$J$1005,'Repeat Detail'!$A$6:$A$1005,"Daily",'Repeat Detail'!$B$6:$B$1005,$A161))</x:f>
      </x:c>
      <x:c r="D161" s="20" t="str">
        <x:f>IF($A161="","",SUMIFS('Repeat Detail'!$K$6:$K$1005,'Repeat Detail'!$A$6:$A$1005,"Daily",'Repeat Detail'!$B$6:$B$1005,$A161))</x:f>
      </x:c>
      <x:c r="E161" s="20" t="str">
        <x:f>IF($A161="","",SUMIFS('Repeat Detail'!$L$6:$L$1005,'Repeat Detail'!$A$6:$A$1005,"Daily",'Repeat Detail'!$B$6:$B$1005,$A161))</x:f>
      </x:c>
      <x:c r="F161" s="22" t="str">
        <x:f>IF(A161="","",IF(D161=0,"n.a.",E161/D161))</x:f>
      </x:c>
      <x:c r="G161" s="20" t="str">
        <x:f>IF($A161="","",SUMIFS('Repeat Detail'!$M$6:$M$1005,'Repeat Detail'!$A$6:$A$1005,"Daily",'Repeat Detail'!$B$6:$B$1005,$A161))</x:f>
      </x:c>
      <x:c r="H161" s="22" t="str">
        <x:f>IF(A161="","",IF(C161=0,"n.a.",G161/C161))</x:f>
      </x:c>
      <x:c r="I161" s="20" t="str">
        <x:f>IF($A161="","",SUMIFS('Repeat Detail'!$N$6:$N$1005,'Repeat Detail'!$A$6:$A$1005,"Daily",'Repeat Detail'!$B$6:$B$1005,$A161))</x:f>
      </x:c>
      <x:c r="J161" s="20" t="str">
        <x:f>IF(A161="","",B161-C161)</x:f>
      </x:c>
    </x:row>
    <x:row r="162">
      <x:c r="A162" s="12" t="str">
        <x:f>IF(A161="","",IF(A161+1&gt;IF(AND(COUNTIF('Repeat Detail'!$A$6:$A$1005,"Quality")=21,COUNTIF('Repeat Detail'!$A$6:$A$1005,"Menu")=12,COUNTIF('Repeat Detail'!$A$6:$A$1005,"Daily")=SUMIFS('Repeat Detail'!$O$6:$O$1005,'Repeat Detail'!$A$6:$A$1005,"Quality",'Repeat Detail'!$H$6:$H$1005,"Date span")),SUMIFS('Repeat Detail'!$O$6:$O$1005,'Repeat Detail'!$A$6:$A$1005,"Quality",'Repeat Detail'!$H$6:$H$1005,"Last date"),NA()),"",A161+1))</x:f>
      </x:c>
      <x:c r="B162" s="20" t="str">
        <x:f>IF($A162="","",SUMIFS('Repeat Detail'!$I$6:$I$1005,'Repeat Detail'!$A$6:$A$1005,"Daily",'Repeat Detail'!$B$6:$B$1005,$A162))</x:f>
      </x:c>
      <x:c r="C162" s="20" t="str">
        <x:f>IF($A162="","",SUMIFS('Repeat Detail'!$J$6:$J$1005,'Repeat Detail'!$A$6:$A$1005,"Daily",'Repeat Detail'!$B$6:$B$1005,$A162))</x:f>
      </x:c>
      <x:c r="D162" s="20" t="str">
        <x:f>IF($A162="","",SUMIFS('Repeat Detail'!$K$6:$K$1005,'Repeat Detail'!$A$6:$A$1005,"Daily",'Repeat Detail'!$B$6:$B$1005,$A162))</x:f>
      </x:c>
      <x:c r="E162" s="20" t="str">
        <x:f>IF($A162="","",SUMIFS('Repeat Detail'!$L$6:$L$1005,'Repeat Detail'!$A$6:$A$1005,"Daily",'Repeat Detail'!$B$6:$B$1005,$A162))</x:f>
      </x:c>
      <x:c r="F162" s="22" t="str">
        <x:f>IF(A162="","",IF(D162=0,"n.a.",E162/D162))</x:f>
      </x:c>
      <x:c r="G162" s="20" t="str">
        <x:f>IF($A162="","",SUMIFS('Repeat Detail'!$M$6:$M$1005,'Repeat Detail'!$A$6:$A$1005,"Daily",'Repeat Detail'!$B$6:$B$1005,$A162))</x:f>
      </x:c>
      <x:c r="H162" s="22" t="str">
        <x:f>IF(A162="","",IF(C162=0,"n.a.",G162/C162))</x:f>
      </x:c>
      <x:c r="I162" s="20" t="str">
        <x:f>IF($A162="","",SUMIFS('Repeat Detail'!$N$6:$N$1005,'Repeat Detail'!$A$6:$A$1005,"Daily",'Repeat Detail'!$B$6:$B$1005,$A162))</x:f>
      </x:c>
      <x:c r="J162" s="20" t="str">
        <x:f>IF(A162="","",B162-C162)</x:f>
      </x:c>
    </x:row>
    <x:row r="163">
      <x:c r="A163" s="12" t="str">
        <x:f>IF(A162="","",IF(A162+1&gt;IF(AND(COUNTIF('Repeat Detail'!$A$6:$A$1005,"Quality")=21,COUNTIF('Repeat Detail'!$A$6:$A$1005,"Menu")=12,COUNTIF('Repeat Detail'!$A$6:$A$1005,"Daily")=SUMIFS('Repeat Detail'!$O$6:$O$1005,'Repeat Detail'!$A$6:$A$1005,"Quality",'Repeat Detail'!$H$6:$H$1005,"Date span")),SUMIFS('Repeat Detail'!$O$6:$O$1005,'Repeat Detail'!$A$6:$A$1005,"Quality",'Repeat Detail'!$H$6:$H$1005,"Last date"),NA()),"",A162+1))</x:f>
      </x:c>
      <x:c r="B163" s="20" t="str">
        <x:f>IF($A163="","",SUMIFS('Repeat Detail'!$I$6:$I$1005,'Repeat Detail'!$A$6:$A$1005,"Daily",'Repeat Detail'!$B$6:$B$1005,$A163))</x:f>
      </x:c>
      <x:c r="C163" s="20" t="str">
        <x:f>IF($A163="","",SUMIFS('Repeat Detail'!$J$6:$J$1005,'Repeat Detail'!$A$6:$A$1005,"Daily",'Repeat Detail'!$B$6:$B$1005,$A163))</x:f>
      </x:c>
      <x:c r="D163" s="20" t="str">
        <x:f>IF($A163="","",SUMIFS('Repeat Detail'!$K$6:$K$1005,'Repeat Detail'!$A$6:$A$1005,"Daily",'Repeat Detail'!$B$6:$B$1005,$A163))</x:f>
      </x:c>
      <x:c r="E163" s="20" t="str">
        <x:f>IF($A163="","",SUMIFS('Repeat Detail'!$L$6:$L$1005,'Repeat Detail'!$A$6:$A$1005,"Daily",'Repeat Detail'!$B$6:$B$1005,$A163))</x:f>
      </x:c>
      <x:c r="F163" s="22" t="str">
        <x:f>IF(A163="","",IF(D163=0,"n.a.",E163/D163))</x:f>
      </x:c>
      <x:c r="G163" s="20" t="str">
        <x:f>IF($A163="","",SUMIFS('Repeat Detail'!$M$6:$M$1005,'Repeat Detail'!$A$6:$A$1005,"Daily",'Repeat Detail'!$B$6:$B$1005,$A163))</x:f>
      </x:c>
      <x:c r="H163" s="22" t="str">
        <x:f>IF(A163="","",IF(C163=0,"n.a.",G163/C163))</x:f>
      </x:c>
      <x:c r="I163" s="20" t="str">
        <x:f>IF($A163="","",SUMIFS('Repeat Detail'!$N$6:$N$1005,'Repeat Detail'!$A$6:$A$1005,"Daily",'Repeat Detail'!$B$6:$B$1005,$A163))</x:f>
      </x:c>
      <x:c r="J163" s="20" t="str">
        <x:f>IF(A163="","",B163-C163)</x:f>
      </x:c>
    </x:row>
    <x:row r="164">
      <x:c r="A164" s="12" t="str">
        <x:f>IF(A163="","",IF(A163+1&gt;IF(AND(COUNTIF('Repeat Detail'!$A$6:$A$1005,"Quality")=21,COUNTIF('Repeat Detail'!$A$6:$A$1005,"Menu")=12,COUNTIF('Repeat Detail'!$A$6:$A$1005,"Daily")=SUMIFS('Repeat Detail'!$O$6:$O$1005,'Repeat Detail'!$A$6:$A$1005,"Quality",'Repeat Detail'!$H$6:$H$1005,"Date span")),SUMIFS('Repeat Detail'!$O$6:$O$1005,'Repeat Detail'!$A$6:$A$1005,"Quality",'Repeat Detail'!$H$6:$H$1005,"Last date"),NA()),"",A163+1))</x:f>
      </x:c>
      <x:c r="B164" s="20" t="str">
        <x:f>IF($A164="","",SUMIFS('Repeat Detail'!$I$6:$I$1005,'Repeat Detail'!$A$6:$A$1005,"Daily",'Repeat Detail'!$B$6:$B$1005,$A164))</x:f>
      </x:c>
      <x:c r="C164" s="20" t="str">
        <x:f>IF($A164="","",SUMIFS('Repeat Detail'!$J$6:$J$1005,'Repeat Detail'!$A$6:$A$1005,"Daily",'Repeat Detail'!$B$6:$B$1005,$A164))</x:f>
      </x:c>
      <x:c r="D164" s="20" t="str">
        <x:f>IF($A164="","",SUMIFS('Repeat Detail'!$K$6:$K$1005,'Repeat Detail'!$A$6:$A$1005,"Daily",'Repeat Detail'!$B$6:$B$1005,$A164))</x:f>
      </x:c>
      <x:c r="E164" s="20" t="str">
        <x:f>IF($A164="","",SUMIFS('Repeat Detail'!$L$6:$L$1005,'Repeat Detail'!$A$6:$A$1005,"Daily",'Repeat Detail'!$B$6:$B$1005,$A164))</x:f>
      </x:c>
      <x:c r="F164" s="22" t="str">
        <x:f>IF(A164="","",IF(D164=0,"n.a.",E164/D164))</x:f>
      </x:c>
      <x:c r="G164" s="20" t="str">
        <x:f>IF($A164="","",SUMIFS('Repeat Detail'!$M$6:$M$1005,'Repeat Detail'!$A$6:$A$1005,"Daily",'Repeat Detail'!$B$6:$B$1005,$A164))</x:f>
      </x:c>
      <x:c r="H164" s="22" t="str">
        <x:f>IF(A164="","",IF(C164=0,"n.a.",G164/C164))</x:f>
      </x:c>
      <x:c r="I164" s="20" t="str">
        <x:f>IF($A164="","",SUMIFS('Repeat Detail'!$N$6:$N$1005,'Repeat Detail'!$A$6:$A$1005,"Daily",'Repeat Detail'!$B$6:$B$1005,$A164))</x:f>
      </x:c>
      <x:c r="J164" s="20" t="str">
        <x:f>IF(A164="","",B164-C164)</x:f>
      </x:c>
    </x:row>
    <x:row r="165">
      <x:c r="A165" s="12" t="str">
        <x:f>IF(A164="","",IF(A164+1&gt;IF(AND(COUNTIF('Repeat Detail'!$A$6:$A$1005,"Quality")=21,COUNTIF('Repeat Detail'!$A$6:$A$1005,"Menu")=12,COUNTIF('Repeat Detail'!$A$6:$A$1005,"Daily")=SUMIFS('Repeat Detail'!$O$6:$O$1005,'Repeat Detail'!$A$6:$A$1005,"Quality",'Repeat Detail'!$H$6:$H$1005,"Date span")),SUMIFS('Repeat Detail'!$O$6:$O$1005,'Repeat Detail'!$A$6:$A$1005,"Quality",'Repeat Detail'!$H$6:$H$1005,"Last date"),NA()),"",A164+1))</x:f>
      </x:c>
      <x:c r="B165" s="20" t="str">
        <x:f>IF($A165="","",SUMIFS('Repeat Detail'!$I$6:$I$1005,'Repeat Detail'!$A$6:$A$1005,"Daily",'Repeat Detail'!$B$6:$B$1005,$A165))</x:f>
      </x:c>
      <x:c r="C165" s="20" t="str">
        <x:f>IF($A165="","",SUMIFS('Repeat Detail'!$J$6:$J$1005,'Repeat Detail'!$A$6:$A$1005,"Daily",'Repeat Detail'!$B$6:$B$1005,$A165))</x:f>
      </x:c>
      <x:c r="D165" s="20" t="str">
        <x:f>IF($A165="","",SUMIFS('Repeat Detail'!$K$6:$K$1005,'Repeat Detail'!$A$6:$A$1005,"Daily",'Repeat Detail'!$B$6:$B$1005,$A165))</x:f>
      </x:c>
      <x:c r="E165" s="20" t="str">
        <x:f>IF($A165="","",SUMIFS('Repeat Detail'!$L$6:$L$1005,'Repeat Detail'!$A$6:$A$1005,"Daily",'Repeat Detail'!$B$6:$B$1005,$A165))</x:f>
      </x:c>
      <x:c r="F165" s="22" t="str">
        <x:f>IF(A165="","",IF(D165=0,"n.a.",E165/D165))</x:f>
      </x:c>
      <x:c r="G165" s="20" t="str">
        <x:f>IF($A165="","",SUMIFS('Repeat Detail'!$M$6:$M$1005,'Repeat Detail'!$A$6:$A$1005,"Daily",'Repeat Detail'!$B$6:$B$1005,$A165))</x:f>
      </x:c>
      <x:c r="H165" s="22" t="str">
        <x:f>IF(A165="","",IF(C165=0,"n.a.",G165/C165))</x:f>
      </x:c>
      <x:c r="I165" s="20" t="str">
        <x:f>IF($A165="","",SUMIFS('Repeat Detail'!$N$6:$N$1005,'Repeat Detail'!$A$6:$A$1005,"Daily",'Repeat Detail'!$B$6:$B$1005,$A165))</x:f>
      </x:c>
      <x:c r="J165" s="20" t="str">
        <x:f>IF(A165="","",B165-C165)</x:f>
      </x:c>
    </x:row>
    <x:row r="166">
      <x:c r="A166" s="12" t="str">
        <x:f>IF(A165="","",IF(A165+1&gt;IF(AND(COUNTIF('Repeat Detail'!$A$6:$A$1005,"Quality")=21,COUNTIF('Repeat Detail'!$A$6:$A$1005,"Menu")=12,COUNTIF('Repeat Detail'!$A$6:$A$1005,"Daily")=SUMIFS('Repeat Detail'!$O$6:$O$1005,'Repeat Detail'!$A$6:$A$1005,"Quality",'Repeat Detail'!$H$6:$H$1005,"Date span")),SUMIFS('Repeat Detail'!$O$6:$O$1005,'Repeat Detail'!$A$6:$A$1005,"Quality",'Repeat Detail'!$H$6:$H$1005,"Last date"),NA()),"",A165+1))</x:f>
      </x:c>
      <x:c r="B166" s="20" t="str">
        <x:f>IF($A166="","",SUMIFS('Repeat Detail'!$I$6:$I$1005,'Repeat Detail'!$A$6:$A$1005,"Daily",'Repeat Detail'!$B$6:$B$1005,$A166))</x:f>
      </x:c>
      <x:c r="C166" s="20" t="str">
        <x:f>IF($A166="","",SUMIFS('Repeat Detail'!$J$6:$J$1005,'Repeat Detail'!$A$6:$A$1005,"Daily",'Repeat Detail'!$B$6:$B$1005,$A166))</x:f>
      </x:c>
      <x:c r="D166" s="20" t="str">
        <x:f>IF($A166="","",SUMIFS('Repeat Detail'!$K$6:$K$1005,'Repeat Detail'!$A$6:$A$1005,"Daily",'Repeat Detail'!$B$6:$B$1005,$A166))</x:f>
      </x:c>
      <x:c r="E166" s="20" t="str">
        <x:f>IF($A166="","",SUMIFS('Repeat Detail'!$L$6:$L$1005,'Repeat Detail'!$A$6:$A$1005,"Daily",'Repeat Detail'!$B$6:$B$1005,$A166))</x:f>
      </x:c>
      <x:c r="F166" s="22" t="str">
        <x:f>IF(A166="","",IF(D166=0,"n.a.",E166/D166))</x:f>
      </x:c>
      <x:c r="G166" s="20" t="str">
        <x:f>IF($A166="","",SUMIFS('Repeat Detail'!$M$6:$M$1005,'Repeat Detail'!$A$6:$A$1005,"Daily",'Repeat Detail'!$B$6:$B$1005,$A166))</x:f>
      </x:c>
      <x:c r="H166" s="22" t="str">
        <x:f>IF(A166="","",IF(C166=0,"n.a.",G166/C166))</x:f>
      </x:c>
      <x:c r="I166" s="20" t="str">
        <x:f>IF($A166="","",SUMIFS('Repeat Detail'!$N$6:$N$1005,'Repeat Detail'!$A$6:$A$1005,"Daily",'Repeat Detail'!$B$6:$B$1005,$A166))</x:f>
      </x:c>
      <x:c r="J166" s="20" t="str">
        <x:f>IF(A166="","",B166-C166)</x:f>
      </x:c>
    </x:row>
    <x:row r="167">
      <x:c r="A167" s="12" t="str">
        <x:f>IF(A166="","",IF(A166+1&gt;IF(AND(COUNTIF('Repeat Detail'!$A$6:$A$1005,"Quality")=21,COUNTIF('Repeat Detail'!$A$6:$A$1005,"Menu")=12,COUNTIF('Repeat Detail'!$A$6:$A$1005,"Daily")=SUMIFS('Repeat Detail'!$O$6:$O$1005,'Repeat Detail'!$A$6:$A$1005,"Quality",'Repeat Detail'!$H$6:$H$1005,"Date span")),SUMIFS('Repeat Detail'!$O$6:$O$1005,'Repeat Detail'!$A$6:$A$1005,"Quality",'Repeat Detail'!$H$6:$H$1005,"Last date"),NA()),"",A166+1))</x:f>
      </x:c>
      <x:c r="B167" s="20" t="str">
        <x:f>IF($A167="","",SUMIFS('Repeat Detail'!$I$6:$I$1005,'Repeat Detail'!$A$6:$A$1005,"Daily",'Repeat Detail'!$B$6:$B$1005,$A167))</x:f>
      </x:c>
      <x:c r="C167" s="20" t="str">
        <x:f>IF($A167="","",SUMIFS('Repeat Detail'!$J$6:$J$1005,'Repeat Detail'!$A$6:$A$1005,"Daily",'Repeat Detail'!$B$6:$B$1005,$A167))</x:f>
      </x:c>
      <x:c r="D167" s="20" t="str">
        <x:f>IF($A167="","",SUMIFS('Repeat Detail'!$K$6:$K$1005,'Repeat Detail'!$A$6:$A$1005,"Daily",'Repeat Detail'!$B$6:$B$1005,$A167))</x:f>
      </x:c>
      <x:c r="E167" s="20" t="str">
        <x:f>IF($A167="","",SUMIFS('Repeat Detail'!$L$6:$L$1005,'Repeat Detail'!$A$6:$A$1005,"Daily",'Repeat Detail'!$B$6:$B$1005,$A167))</x:f>
      </x:c>
      <x:c r="F167" s="22" t="str">
        <x:f>IF(A167="","",IF(D167=0,"n.a.",E167/D167))</x:f>
      </x:c>
      <x:c r="G167" s="20" t="str">
        <x:f>IF($A167="","",SUMIFS('Repeat Detail'!$M$6:$M$1005,'Repeat Detail'!$A$6:$A$1005,"Daily",'Repeat Detail'!$B$6:$B$1005,$A167))</x:f>
      </x:c>
      <x:c r="H167" s="22" t="str">
        <x:f>IF(A167="","",IF(C167=0,"n.a.",G167/C167))</x:f>
      </x:c>
      <x:c r="I167" s="20" t="str">
        <x:f>IF($A167="","",SUMIFS('Repeat Detail'!$N$6:$N$1005,'Repeat Detail'!$A$6:$A$1005,"Daily",'Repeat Detail'!$B$6:$B$1005,$A167))</x:f>
      </x:c>
      <x:c r="J167" s="20" t="str">
        <x:f>IF(A167="","",B167-C167)</x:f>
      </x:c>
    </x:row>
    <x:row r="168">
      <x:c r="A168" s="12" t="str">
        <x:f>IF(A167="","",IF(A167+1&gt;IF(AND(COUNTIF('Repeat Detail'!$A$6:$A$1005,"Quality")=21,COUNTIF('Repeat Detail'!$A$6:$A$1005,"Menu")=12,COUNTIF('Repeat Detail'!$A$6:$A$1005,"Daily")=SUMIFS('Repeat Detail'!$O$6:$O$1005,'Repeat Detail'!$A$6:$A$1005,"Quality",'Repeat Detail'!$H$6:$H$1005,"Date span")),SUMIFS('Repeat Detail'!$O$6:$O$1005,'Repeat Detail'!$A$6:$A$1005,"Quality",'Repeat Detail'!$H$6:$H$1005,"Last date"),NA()),"",A167+1))</x:f>
      </x:c>
      <x:c r="B168" s="20" t="str">
        <x:f>IF($A168="","",SUMIFS('Repeat Detail'!$I$6:$I$1005,'Repeat Detail'!$A$6:$A$1005,"Daily",'Repeat Detail'!$B$6:$B$1005,$A168))</x:f>
      </x:c>
      <x:c r="C168" s="20" t="str">
        <x:f>IF($A168="","",SUMIFS('Repeat Detail'!$J$6:$J$1005,'Repeat Detail'!$A$6:$A$1005,"Daily",'Repeat Detail'!$B$6:$B$1005,$A168))</x:f>
      </x:c>
      <x:c r="D168" s="20" t="str">
        <x:f>IF($A168="","",SUMIFS('Repeat Detail'!$K$6:$K$1005,'Repeat Detail'!$A$6:$A$1005,"Daily",'Repeat Detail'!$B$6:$B$1005,$A168))</x:f>
      </x:c>
      <x:c r="E168" s="20" t="str">
        <x:f>IF($A168="","",SUMIFS('Repeat Detail'!$L$6:$L$1005,'Repeat Detail'!$A$6:$A$1005,"Daily",'Repeat Detail'!$B$6:$B$1005,$A168))</x:f>
      </x:c>
      <x:c r="F168" s="22" t="str">
        <x:f>IF(A168="","",IF(D168=0,"n.a.",E168/D168))</x:f>
      </x:c>
      <x:c r="G168" s="20" t="str">
        <x:f>IF($A168="","",SUMIFS('Repeat Detail'!$M$6:$M$1005,'Repeat Detail'!$A$6:$A$1005,"Daily",'Repeat Detail'!$B$6:$B$1005,$A168))</x:f>
      </x:c>
      <x:c r="H168" s="22" t="str">
        <x:f>IF(A168="","",IF(C168=0,"n.a.",G168/C168))</x:f>
      </x:c>
      <x:c r="I168" s="20" t="str">
        <x:f>IF($A168="","",SUMIFS('Repeat Detail'!$N$6:$N$1005,'Repeat Detail'!$A$6:$A$1005,"Daily",'Repeat Detail'!$B$6:$B$1005,$A168))</x:f>
      </x:c>
      <x:c r="J168" s="20" t="str">
        <x:f>IF(A168="","",B168-C168)</x:f>
      </x:c>
    </x:row>
    <x:row r="169">
      <x:c r="A169" s="12" t="str">
        <x:f>IF(A168="","",IF(A168+1&gt;IF(AND(COUNTIF('Repeat Detail'!$A$6:$A$1005,"Quality")=21,COUNTIF('Repeat Detail'!$A$6:$A$1005,"Menu")=12,COUNTIF('Repeat Detail'!$A$6:$A$1005,"Daily")=SUMIFS('Repeat Detail'!$O$6:$O$1005,'Repeat Detail'!$A$6:$A$1005,"Quality",'Repeat Detail'!$H$6:$H$1005,"Date span")),SUMIFS('Repeat Detail'!$O$6:$O$1005,'Repeat Detail'!$A$6:$A$1005,"Quality",'Repeat Detail'!$H$6:$H$1005,"Last date"),NA()),"",A168+1))</x:f>
      </x:c>
      <x:c r="B169" s="20" t="str">
        <x:f>IF($A169="","",SUMIFS('Repeat Detail'!$I$6:$I$1005,'Repeat Detail'!$A$6:$A$1005,"Daily",'Repeat Detail'!$B$6:$B$1005,$A169))</x:f>
      </x:c>
      <x:c r="C169" s="20" t="str">
        <x:f>IF($A169="","",SUMIFS('Repeat Detail'!$J$6:$J$1005,'Repeat Detail'!$A$6:$A$1005,"Daily",'Repeat Detail'!$B$6:$B$1005,$A169))</x:f>
      </x:c>
      <x:c r="D169" s="20" t="str">
        <x:f>IF($A169="","",SUMIFS('Repeat Detail'!$K$6:$K$1005,'Repeat Detail'!$A$6:$A$1005,"Daily",'Repeat Detail'!$B$6:$B$1005,$A169))</x:f>
      </x:c>
      <x:c r="E169" s="20" t="str">
        <x:f>IF($A169="","",SUMIFS('Repeat Detail'!$L$6:$L$1005,'Repeat Detail'!$A$6:$A$1005,"Daily",'Repeat Detail'!$B$6:$B$1005,$A169))</x:f>
      </x:c>
      <x:c r="F169" s="22" t="str">
        <x:f>IF(A169="","",IF(D169=0,"n.a.",E169/D169))</x:f>
      </x:c>
      <x:c r="G169" s="20" t="str">
        <x:f>IF($A169="","",SUMIFS('Repeat Detail'!$M$6:$M$1005,'Repeat Detail'!$A$6:$A$1005,"Daily",'Repeat Detail'!$B$6:$B$1005,$A169))</x:f>
      </x:c>
      <x:c r="H169" s="22" t="str">
        <x:f>IF(A169="","",IF(C169=0,"n.a.",G169/C169))</x:f>
      </x:c>
      <x:c r="I169" s="20" t="str">
        <x:f>IF($A169="","",SUMIFS('Repeat Detail'!$N$6:$N$1005,'Repeat Detail'!$A$6:$A$1005,"Daily",'Repeat Detail'!$B$6:$B$1005,$A169))</x:f>
      </x:c>
      <x:c r="J169" s="20" t="str">
        <x:f>IF(A169="","",B169-C169)</x:f>
      </x:c>
    </x:row>
    <x:row r="170">
      <x:c r="A170" s="12" t="str">
        <x:f>IF(A169="","",IF(A169+1&gt;IF(AND(COUNTIF('Repeat Detail'!$A$6:$A$1005,"Quality")=21,COUNTIF('Repeat Detail'!$A$6:$A$1005,"Menu")=12,COUNTIF('Repeat Detail'!$A$6:$A$1005,"Daily")=SUMIFS('Repeat Detail'!$O$6:$O$1005,'Repeat Detail'!$A$6:$A$1005,"Quality",'Repeat Detail'!$H$6:$H$1005,"Date span")),SUMIFS('Repeat Detail'!$O$6:$O$1005,'Repeat Detail'!$A$6:$A$1005,"Quality",'Repeat Detail'!$H$6:$H$1005,"Last date"),NA()),"",A169+1))</x:f>
      </x:c>
      <x:c r="B170" s="20" t="str">
        <x:f>IF($A170="","",SUMIFS('Repeat Detail'!$I$6:$I$1005,'Repeat Detail'!$A$6:$A$1005,"Daily",'Repeat Detail'!$B$6:$B$1005,$A170))</x:f>
      </x:c>
      <x:c r="C170" s="20" t="str">
        <x:f>IF($A170="","",SUMIFS('Repeat Detail'!$J$6:$J$1005,'Repeat Detail'!$A$6:$A$1005,"Daily",'Repeat Detail'!$B$6:$B$1005,$A170))</x:f>
      </x:c>
      <x:c r="D170" s="20" t="str">
        <x:f>IF($A170="","",SUMIFS('Repeat Detail'!$K$6:$K$1005,'Repeat Detail'!$A$6:$A$1005,"Daily",'Repeat Detail'!$B$6:$B$1005,$A170))</x:f>
      </x:c>
      <x:c r="E170" s="20" t="str">
        <x:f>IF($A170="","",SUMIFS('Repeat Detail'!$L$6:$L$1005,'Repeat Detail'!$A$6:$A$1005,"Daily",'Repeat Detail'!$B$6:$B$1005,$A170))</x:f>
      </x:c>
      <x:c r="F170" s="22" t="str">
        <x:f>IF(A170="","",IF(D170=0,"n.a.",E170/D170))</x:f>
      </x:c>
      <x:c r="G170" s="20" t="str">
        <x:f>IF($A170="","",SUMIFS('Repeat Detail'!$M$6:$M$1005,'Repeat Detail'!$A$6:$A$1005,"Daily",'Repeat Detail'!$B$6:$B$1005,$A170))</x:f>
      </x:c>
      <x:c r="H170" s="22" t="str">
        <x:f>IF(A170="","",IF(C170=0,"n.a.",G170/C170))</x:f>
      </x:c>
      <x:c r="I170" s="20" t="str">
        <x:f>IF($A170="","",SUMIFS('Repeat Detail'!$N$6:$N$1005,'Repeat Detail'!$A$6:$A$1005,"Daily",'Repeat Detail'!$B$6:$B$1005,$A170))</x:f>
      </x:c>
      <x:c r="J170" s="20" t="str">
        <x:f>IF(A170="","",B170-C170)</x:f>
      </x:c>
    </x:row>
    <x:row r="171">
      <x:c r="A171" s="12" t="str">
        <x:f>IF(A170="","",IF(A170+1&gt;IF(AND(COUNTIF('Repeat Detail'!$A$6:$A$1005,"Quality")=21,COUNTIF('Repeat Detail'!$A$6:$A$1005,"Menu")=12,COUNTIF('Repeat Detail'!$A$6:$A$1005,"Daily")=SUMIFS('Repeat Detail'!$O$6:$O$1005,'Repeat Detail'!$A$6:$A$1005,"Quality",'Repeat Detail'!$H$6:$H$1005,"Date span")),SUMIFS('Repeat Detail'!$O$6:$O$1005,'Repeat Detail'!$A$6:$A$1005,"Quality",'Repeat Detail'!$H$6:$H$1005,"Last date"),NA()),"",A170+1))</x:f>
      </x:c>
      <x:c r="B171" s="20" t="str">
        <x:f>IF($A171="","",SUMIFS('Repeat Detail'!$I$6:$I$1005,'Repeat Detail'!$A$6:$A$1005,"Daily",'Repeat Detail'!$B$6:$B$1005,$A171))</x:f>
      </x:c>
      <x:c r="C171" s="20" t="str">
        <x:f>IF($A171="","",SUMIFS('Repeat Detail'!$J$6:$J$1005,'Repeat Detail'!$A$6:$A$1005,"Daily",'Repeat Detail'!$B$6:$B$1005,$A171))</x:f>
      </x:c>
      <x:c r="D171" s="20" t="str">
        <x:f>IF($A171="","",SUMIFS('Repeat Detail'!$K$6:$K$1005,'Repeat Detail'!$A$6:$A$1005,"Daily",'Repeat Detail'!$B$6:$B$1005,$A171))</x:f>
      </x:c>
      <x:c r="E171" s="20" t="str">
        <x:f>IF($A171="","",SUMIFS('Repeat Detail'!$L$6:$L$1005,'Repeat Detail'!$A$6:$A$1005,"Daily",'Repeat Detail'!$B$6:$B$1005,$A171))</x:f>
      </x:c>
      <x:c r="F171" s="22" t="str">
        <x:f>IF(A171="","",IF(D171=0,"n.a.",E171/D171))</x:f>
      </x:c>
      <x:c r="G171" s="20" t="str">
        <x:f>IF($A171="","",SUMIFS('Repeat Detail'!$M$6:$M$1005,'Repeat Detail'!$A$6:$A$1005,"Daily",'Repeat Detail'!$B$6:$B$1005,$A171))</x:f>
      </x:c>
      <x:c r="H171" s="22" t="str">
        <x:f>IF(A171="","",IF(C171=0,"n.a.",G171/C171))</x:f>
      </x:c>
      <x:c r="I171" s="20" t="str">
        <x:f>IF($A171="","",SUMIFS('Repeat Detail'!$N$6:$N$1005,'Repeat Detail'!$A$6:$A$1005,"Daily",'Repeat Detail'!$B$6:$B$1005,$A171))</x:f>
      </x:c>
      <x:c r="J171" s="20" t="str">
        <x:f>IF(A171="","",B171-C171)</x:f>
      </x:c>
    </x:row>
    <x:row r="172">
      <x:c r="A172" s="12" t="str">
        <x:f>IF(A171="","",IF(A171+1&gt;IF(AND(COUNTIF('Repeat Detail'!$A$6:$A$1005,"Quality")=21,COUNTIF('Repeat Detail'!$A$6:$A$1005,"Menu")=12,COUNTIF('Repeat Detail'!$A$6:$A$1005,"Daily")=SUMIFS('Repeat Detail'!$O$6:$O$1005,'Repeat Detail'!$A$6:$A$1005,"Quality",'Repeat Detail'!$H$6:$H$1005,"Date span")),SUMIFS('Repeat Detail'!$O$6:$O$1005,'Repeat Detail'!$A$6:$A$1005,"Quality",'Repeat Detail'!$H$6:$H$1005,"Last date"),NA()),"",A171+1))</x:f>
      </x:c>
      <x:c r="B172" s="20" t="str">
        <x:f>IF($A172="","",SUMIFS('Repeat Detail'!$I$6:$I$1005,'Repeat Detail'!$A$6:$A$1005,"Daily",'Repeat Detail'!$B$6:$B$1005,$A172))</x:f>
      </x:c>
      <x:c r="C172" s="20" t="str">
        <x:f>IF($A172="","",SUMIFS('Repeat Detail'!$J$6:$J$1005,'Repeat Detail'!$A$6:$A$1005,"Daily",'Repeat Detail'!$B$6:$B$1005,$A172))</x:f>
      </x:c>
      <x:c r="D172" s="20" t="str">
        <x:f>IF($A172="","",SUMIFS('Repeat Detail'!$K$6:$K$1005,'Repeat Detail'!$A$6:$A$1005,"Daily",'Repeat Detail'!$B$6:$B$1005,$A172))</x:f>
      </x:c>
      <x:c r="E172" s="20" t="str">
        <x:f>IF($A172="","",SUMIFS('Repeat Detail'!$L$6:$L$1005,'Repeat Detail'!$A$6:$A$1005,"Daily",'Repeat Detail'!$B$6:$B$1005,$A172))</x:f>
      </x:c>
      <x:c r="F172" s="22" t="str">
        <x:f>IF(A172="","",IF(D172=0,"n.a.",E172/D172))</x:f>
      </x:c>
      <x:c r="G172" s="20" t="str">
        <x:f>IF($A172="","",SUMIFS('Repeat Detail'!$M$6:$M$1005,'Repeat Detail'!$A$6:$A$1005,"Daily",'Repeat Detail'!$B$6:$B$1005,$A172))</x:f>
      </x:c>
      <x:c r="H172" s="22" t="str">
        <x:f>IF(A172="","",IF(C172=0,"n.a.",G172/C172))</x:f>
      </x:c>
      <x:c r="I172" s="20" t="str">
        <x:f>IF($A172="","",SUMIFS('Repeat Detail'!$N$6:$N$1005,'Repeat Detail'!$A$6:$A$1005,"Daily",'Repeat Detail'!$B$6:$B$1005,$A172))</x:f>
      </x:c>
      <x:c r="J172" s="20" t="str">
        <x:f>IF(A172="","",B172-C172)</x:f>
      </x:c>
    </x:row>
    <x:row r="173">
      <x:c r="A173" s="12" t="str">
        <x:f>IF(A172="","",IF(A172+1&gt;IF(AND(COUNTIF('Repeat Detail'!$A$6:$A$1005,"Quality")=21,COUNTIF('Repeat Detail'!$A$6:$A$1005,"Menu")=12,COUNTIF('Repeat Detail'!$A$6:$A$1005,"Daily")=SUMIFS('Repeat Detail'!$O$6:$O$1005,'Repeat Detail'!$A$6:$A$1005,"Quality",'Repeat Detail'!$H$6:$H$1005,"Date span")),SUMIFS('Repeat Detail'!$O$6:$O$1005,'Repeat Detail'!$A$6:$A$1005,"Quality",'Repeat Detail'!$H$6:$H$1005,"Last date"),NA()),"",A172+1))</x:f>
      </x:c>
      <x:c r="B173" s="20" t="str">
        <x:f>IF($A173="","",SUMIFS('Repeat Detail'!$I$6:$I$1005,'Repeat Detail'!$A$6:$A$1005,"Daily",'Repeat Detail'!$B$6:$B$1005,$A173))</x:f>
      </x:c>
      <x:c r="C173" s="20" t="str">
        <x:f>IF($A173="","",SUMIFS('Repeat Detail'!$J$6:$J$1005,'Repeat Detail'!$A$6:$A$1005,"Daily",'Repeat Detail'!$B$6:$B$1005,$A173))</x:f>
      </x:c>
      <x:c r="D173" s="20" t="str">
        <x:f>IF($A173="","",SUMIFS('Repeat Detail'!$K$6:$K$1005,'Repeat Detail'!$A$6:$A$1005,"Daily",'Repeat Detail'!$B$6:$B$1005,$A173))</x:f>
      </x:c>
      <x:c r="E173" s="20" t="str">
        <x:f>IF($A173="","",SUMIFS('Repeat Detail'!$L$6:$L$1005,'Repeat Detail'!$A$6:$A$1005,"Daily",'Repeat Detail'!$B$6:$B$1005,$A173))</x:f>
      </x:c>
      <x:c r="F173" s="22" t="str">
        <x:f>IF(A173="","",IF(D173=0,"n.a.",E173/D173))</x:f>
      </x:c>
      <x:c r="G173" s="20" t="str">
        <x:f>IF($A173="","",SUMIFS('Repeat Detail'!$M$6:$M$1005,'Repeat Detail'!$A$6:$A$1005,"Daily",'Repeat Detail'!$B$6:$B$1005,$A173))</x:f>
      </x:c>
      <x:c r="H173" s="22" t="str">
        <x:f>IF(A173="","",IF(C173=0,"n.a.",G173/C173))</x:f>
      </x:c>
      <x:c r="I173" s="20" t="str">
        <x:f>IF($A173="","",SUMIFS('Repeat Detail'!$N$6:$N$1005,'Repeat Detail'!$A$6:$A$1005,"Daily",'Repeat Detail'!$B$6:$B$1005,$A173))</x:f>
      </x:c>
      <x:c r="J173" s="20" t="str">
        <x:f>IF(A173="","",B173-C173)</x:f>
      </x:c>
    </x:row>
    <x:row r="174">
      <x:c r="A174" s="12" t="str">
        <x:f>IF(A173="","",IF(A173+1&gt;IF(AND(COUNTIF('Repeat Detail'!$A$6:$A$1005,"Quality")=21,COUNTIF('Repeat Detail'!$A$6:$A$1005,"Menu")=12,COUNTIF('Repeat Detail'!$A$6:$A$1005,"Daily")=SUMIFS('Repeat Detail'!$O$6:$O$1005,'Repeat Detail'!$A$6:$A$1005,"Quality",'Repeat Detail'!$H$6:$H$1005,"Date span")),SUMIFS('Repeat Detail'!$O$6:$O$1005,'Repeat Detail'!$A$6:$A$1005,"Quality",'Repeat Detail'!$H$6:$H$1005,"Last date"),NA()),"",A173+1))</x:f>
      </x:c>
      <x:c r="B174" s="20" t="str">
        <x:f>IF($A174="","",SUMIFS('Repeat Detail'!$I$6:$I$1005,'Repeat Detail'!$A$6:$A$1005,"Daily",'Repeat Detail'!$B$6:$B$1005,$A174))</x:f>
      </x:c>
      <x:c r="C174" s="20" t="str">
        <x:f>IF($A174="","",SUMIFS('Repeat Detail'!$J$6:$J$1005,'Repeat Detail'!$A$6:$A$1005,"Daily",'Repeat Detail'!$B$6:$B$1005,$A174))</x:f>
      </x:c>
      <x:c r="D174" s="20" t="str">
        <x:f>IF($A174="","",SUMIFS('Repeat Detail'!$K$6:$K$1005,'Repeat Detail'!$A$6:$A$1005,"Daily",'Repeat Detail'!$B$6:$B$1005,$A174))</x:f>
      </x:c>
      <x:c r="E174" s="20" t="str">
        <x:f>IF($A174="","",SUMIFS('Repeat Detail'!$L$6:$L$1005,'Repeat Detail'!$A$6:$A$1005,"Daily",'Repeat Detail'!$B$6:$B$1005,$A174))</x:f>
      </x:c>
      <x:c r="F174" s="22" t="str">
        <x:f>IF(A174="","",IF(D174=0,"n.a.",E174/D174))</x:f>
      </x:c>
      <x:c r="G174" s="20" t="str">
        <x:f>IF($A174="","",SUMIFS('Repeat Detail'!$M$6:$M$1005,'Repeat Detail'!$A$6:$A$1005,"Daily",'Repeat Detail'!$B$6:$B$1005,$A174))</x:f>
      </x:c>
      <x:c r="H174" s="22" t="str">
        <x:f>IF(A174="","",IF(C174=0,"n.a.",G174/C174))</x:f>
      </x:c>
      <x:c r="I174" s="20" t="str">
        <x:f>IF($A174="","",SUMIFS('Repeat Detail'!$N$6:$N$1005,'Repeat Detail'!$A$6:$A$1005,"Daily",'Repeat Detail'!$B$6:$B$1005,$A174))</x:f>
      </x:c>
      <x:c r="J174" s="20" t="str">
        <x:f>IF(A174="","",B174-C174)</x:f>
      </x:c>
    </x:row>
    <x:row r="175">
      <x:c r="A175" s="12" t="str">
        <x:f>IF(A174="","",IF(A174+1&gt;IF(AND(COUNTIF('Repeat Detail'!$A$6:$A$1005,"Quality")=21,COUNTIF('Repeat Detail'!$A$6:$A$1005,"Menu")=12,COUNTIF('Repeat Detail'!$A$6:$A$1005,"Daily")=SUMIFS('Repeat Detail'!$O$6:$O$1005,'Repeat Detail'!$A$6:$A$1005,"Quality",'Repeat Detail'!$H$6:$H$1005,"Date span")),SUMIFS('Repeat Detail'!$O$6:$O$1005,'Repeat Detail'!$A$6:$A$1005,"Quality",'Repeat Detail'!$H$6:$H$1005,"Last date"),NA()),"",A174+1))</x:f>
      </x:c>
      <x:c r="B175" s="20" t="str">
        <x:f>IF($A175="","",SUMIFS('Repeat Detail'!$I$6:$I$1005,'Repeat Detail'!$A$6:$A$1005,"Daily",'Repeat Detail'!$B$6:$B$1005,$A175))</x:f>
      </x:c>
      <x:c r="C175" s="20" t="str">
        <x:f>IF($A175="","",SUMIFS('Repeat Detail'!$J$6:$J$1005,'Repeat Detail'!$A$6:$A$1005,"Daily",'Repeat Detail'!$B$6:$B$1005,$A175))</x:f>
      </x:c>
      <x:c r="D175" s="20" t="str">
        <x:f>IF($A175="","",SUMIFS('Repeat Detail'!$K$6:$K$1005,'Repeat Detail'!$A$6:$A$1005,"Daily",'Repeat Detail'!$B$6:$B$1005,$A175))</x:f>
      </x:c>
      <x:c r="E175" s="20" t="str">
        <x:f>IF($A175="","",SUMIFS('Repeat Detail'!$L$6:$L$1005,'Repeat Detail'!$A$6:$A$1005,"Daily",'Repeat Detail'!$B$6:$B$1005,$A175))</x:f>
      </x:c>
      <x:c r="F175" s="22" t="str">
        <x:f>IF(A175="","",IF(D175=0,"n.a.",E175/D175))</x:f>
      </x:c>
      <x:c r="G175" s="20" t="str">
        <x:f>IF($A175="","",SUMIFS('Repeat Detail'!$M$6:$M$1005,'Repeat Detail'!$A$6:$A$1005,"Daily",'Repeat Detail'!$B$6:$B$1005,$A175))</x:f>
      </x:c>
      <x:c r="H175" s="22" t="str">
        <x:f>IF(A175="","",IF(C175=0,"n.a.",G175/C175))</x:f>
      </x:c>
      <x:c r="I175" s="20" t="str">
        <x:f>IF($A175="","",SUMIFS('Repeat Detail'!$N$6:$N$1005,'Repeat Detail'!$A$6:$A$1005,"Daily",'Repeat Detail'!$B$6:$B$1005,$A175))</x:f>
      </x:c>
      <x:c r="J175" s="20" t="str">
        <x:f>IF(A175="","",B175-C175)</x:f>
      </x:c>
    </x:row>
    <x:row r="176">
      <x:c r="A176" s="12" t="str">
        <x:f>IF(A175="","",IF(A175+1&gt;IF(AND(COUNTIF('Repeat Detail'!$A$6:$A$1005,"Quality")=21,COUNTIF('Repeat Detail'!$A$6:$A$1005,"Menu")=12,COUNTIF('Repeat Detail'!$A$6:$A$1005,"Daily")=SUMIFS('Repeat Detail'!$O$6:$O$1005,'Repeat Detail'!$A$6:$A$1005,"Quality",'Repeat Detail'!$H$6:$H$1005,"Date span")),SUMIFS('Repeat Detail'!$O$6:$O$1005,'Repeat Detail'!$A$6:$A$1005,"Quality",'Repeat Detail'!$H$6:$H$1005,"Last date"),NA()),"",A175+1))</x:f>
      </x:c>
      <x:c r="B176" s="20" t="str">
        <x:f>IF($A176="","",SUMIFS('Repeat Detail'!$I$6:$I$1005,'Repeat Detail'!$A$6:$A$1005,"Daily",'Repeat Detail'!$B$6:$B$1005,$A176))</x:f>
      </x:c>
      <x:c r="C176" s="20" t="str">
        <x:f>IF($A176="","",SUMIFS('Repeat Detail'!$J$6:$J$1005,'Repeat Detail'!$A$6:$A$1005,"Daily",'Repeat Detail'!$B$6:$B$1005,$A176))</x:f>
      </x:c>
      <x:c r="D176" s="20" t="str">
        <x:f>IF($A176="","",SUMIFS('Repeat Detail'!$K$6:$K$1005,'Repeat Detail'!$A$6:$A$1005,"Daily",'Repeat Detail'!$B$6:$B$1005,$A176))</x:f>
      </x:c>
      <x:c r="E176" s="20" t="str">
        <x:f>IF($A176="","",SUMIFS('Repeat Detail'!$L$6:$L$1005,'Repeat Detail'!$A$6:$A$1005,"Daily",'Repeat Detail'!$B$6:$B$1005,$A176))</x:f>
      </x:c>
      <x:c r="F176" s="22" t="str">
        <x:f>IF(A176="","",IF(D176=0,"n.a.",E176/D176))</x:f>
      </x:c>
      <x:c r="G176" s="20" t="str">
        <x:f>IF($A176="","",SUMIFS('Repeat Detail'!$M$6:$M$1005,'Repeat Detail'!$A$6:$A$1005,"Daily",'Repeat Detail'!$B$6:$B$1005,$A176))</x:f>
      </x:c>
      <x:c r="H176" s="22" t="str">
        <x:f>IF(A176="","",IF(C176=0,"n.a.",G176/C176))</x:f>
      </x:c>
      <x:c r="I176" s="20" t="str">
        <x:f>IF($A176="","",SUMIFS('Repeat Detail'!$N$6:$N$1005,'Repeat Detail'!$A$6:$A$1005,"Daily",'Repeat Detail'!$B$6:$B$1005,$A176))</x:f>
      </x:c>
      <x:c r="J176" s="20" t="str">
        <x:f>IF(A176="","",B176-C176)</x:f>
      </x:c>
    </x:row>
    <x:row r="177">
      <x:c r="A177" s="12" t="str">
        <x:f>IF(A176="","",IF(A176+1&gt;IF(AND(COUNTIF('Repeat Detail'!$A$6:$A$1005,"Quality")=21,COUNTIF('Repeat Detail'!$A$6:$A$1005,"Menu")=12,COUNTIF('Repeat Detail'!$A$6:$A$1005,"Daily")=SUMIFS('Repeat Detail'!$O$6:$O$1005,'Repeat Detail'!$A$6:$A$1005,"Quality",'Repeat Detail'!$H$6:$H$1005,"Date span")),SUMIFS('Repeat Detail'!$O$6:$O$1005,'Repeat Detail'!$A$6:$A$1005,"Quality",'Repeat Detail'!$H$6:$H$1005,"Last date"),NA()),"",A176+1))</x:f>
      </x:c>
      <x:c r="B177" s="20" t="str">
        <x:f>IF($A177="","",SUMIFS('Repeat Detail'!$I$6:$I$1005,'Repeat Detail'!$A$6:$A$1005,"Daily",'Repeat Detail'!$B$6:$B$1005,$A177))</x:f>
      </x:c>
      <x:c r="C177" s="20" t="str">
        <x:f>IF($A177="","",SUMIFS('Repeat Detail'!$J$6:$J$1005,'Repeat Detail'!$A$6:$A$1005,"Daily",'Repeat Detail'!$B$6:$B$1005,$A177))</x:f>
      </x:c>
      <x:c r="D177" s="20" t="str">
        <x:f>IF($A177="","",SUMIFS('Repeat Detail'!$K$6:$K$1005,'Repeat Detail'!$A$6:$A$1005,"Daily",'Repeat Detail'!$B$6:$B$1005,$A177))</x:f>
      </x:c>
      <x:c r="E177" s="20" t="str">
        <x:f>IF($A177="","",SUMIFS('Repeat Detail'!$L$6:$L$1005,'Repeat Detail'!$A$6:$A$1005,"Daily",'Repeat Detail'!$B$6:$B$1005,$A177))</x:f>
      </x:c>
      <x:c r="F177" s="22" t="str">
        <x:f>IF(A177="","",IF(D177=0,"n.a.",E177/D177))</x:f>
      </x:c>
      <x:c r="G177" s="20" t="str">
        <x:f>IF($A177="","",SUMIFS('Repeat Detail'!$M$6:$M$1005,'Repeat Detail'!$A$6:$A$1005,"Daily",'Repeat Detail'!$B$6:$B$1005,$A177))</x:f>
      </x:c>
      <x:c r="H177" s="22" t="str">
        <x:f>IF(A177="","",IF(C177=0,"n.a.",G177/C177))</x:f>
      </x:c>
      <x:c r="I177" s="20" t="str">
        <x:f>IF($A177="","",SUMIFS('Repeat Detail'!$N$6:$N$1005,'Repeat Detail'!$A$6:$A$1005,"Daily",'Repeat Detail'!$B$6:$B$1005,$A177))</x:f>
      </x:c>
      <x:c r="J177" s="20" t="str">
        <x:f>IF(A177="","",B177-C177)</x:f>
      </x:c>
    </x:row>
    <x:row r="178">
      <x:c r="A178" s="12" t="str">
        <x:f>IF(A177="","",IF(A177+1&gt;IF(AND(COUNTIF('Repeat Detail'!$A$6:$A$1005,"Quality")=21,COUNTIF('Repeat Detail'!$A$6:$A$1005,"Menu")=12,COUNTIF('Repeat Detail'!$A$6:$A$1005,"Daily")=SUMIFS('Repeat Detail'!$O$6:$O$1005,'Repeat Detail'!$A$6:$A$1005,"Quality",'Repeat Detail'!$H$6:$H$1005,"Date span")),SUMIFS('Repeat Detail'!$O$6:$O$1005,'Repeat Detail'!$A$6:$A$1005,"Quality",'Repeat Detail'!$H$6:$H$1005,"Last date"),NA()),"",A177+1))</x:f>
      </x:c>
      <x:c r="B178" s="20" t="str">
        <x:f>IF($A178="","",SUMIFS('Repeat Detail'!$I$6:$I$1005,'Repeat Detail'!$A$6:$A$1005,"Daily",'Repeat Detail'!$B$6:$B$1005,$A178))</x:f>
      </x:c>
      <x:c r="C178" s="20" t="str">
        <x:f>IF($A178="","",SUMIFS('Repeat Detail'!$J$6:$J$1005,'Repeat Detail'!$A$6:$A$1005,"Daily",'Repeat Detail'!$B$6:$B$1005,$A178))</x:f>
      </x:c>
      <x:c r="D178" s="20" t="str">
        <x:f>IF($A178="","",SUMIFS('Repeat Detail'!$K$6:$K$1005,'Repeat Detail'!$A$6:$A$1005,"Daily",'Repeat Detail'!$B$6:$B$1005,$A178))</x:f>
      </x:c>
      <x:c r="E178" s="20" t="str">
        <x:f>IF($A178="","",SUMIFS('Repeat Detail'!$L$6:$L$1005,'Repeat Detail'!$A$6:$A$1005,"Daily",'Repeat Detail'!$B$6:$B$1005,$A178))</x:f>
      </x:c>
      <x:c r="F178" s="22" t="str">
        <x:f>IF(A178="","",IF(D178=0,"n.a.",E178/D178))</x:f>
      </x:c>
      <x:c r="G178" s="20" t="str">
        <x:f>IF($A178="","",SUMIFS('Repeat Detail'!$M$6:$M$1005,'Repeat Detail'!$A$6:$A$1005,"Daily",'Repeat Detail'!$B$6:$B$1005,$A178))</x:f>
      </x:c>
      <x:c r="H178" s="22" t="str">
        <x:f>IF(A178="","",IF(C178=0,"n.a.",G178/C178))</x:f>
      </x:c>
      <x:c r="I178" s="20" t="str">
        <x:f>IF($A178="","",SUMIFS('Repeat Detail'!$N$6:$N$1005,'Repeat Detail'!$A$6:$A$1005,"Daily",'Repeat Detail'!$B$6:$B$1005,$A178))</x:f>
      </x:c>
      <x:c r="J178" s="20" t="str">
        <x:f>IF(A178="","",B178-C178)</x:f>
      </x:c>
    </x:row>
    <x:row r="179">
      <x:c r="A179" s="12" t="str">
        <x:f>IF(A178="","",IF(A178+1&gt;IF(AND(COUNTIF('Repeat Detail'!$A$6:$A$1005,"Quality")=21,COUNTIF('Repeat Detail'!$A$6:$A$1005,"Menu")=12,COUNTIF('Repeat Detail'!$A$6:$A$1005,"Daily")=SUMIFS('Repeat Detail'!$O$6:$O$1005,'Repeat Detail'!$A$6:$A$1005,"Quality",'Repeat Detail'!$H$6:$H$1005,"Date span")),SUMIFS('Repeat Detail'!$O$6:$O$1005,'Repeat Detail'!$A$6:$A$1005,"Quality",'Repeat Detail'!$H$6:$H$1005,"Last date"),NA()),"",A178+1))</x:f>
      </x:c>
      <x:c r="B179" s="20" t="str">
        <x:f>IF($A179="","",SUMIFS('Repeat Detail'!$I$6:$I$1005,'Repeat Detail'!$A$6:$A$1005,"Daily",'Repeat Detail'!$B$6:$B$1005,$A179))</x:f>
      </x:c>
      <x:c r="C179" s="20" t="str">
        <x:f>IF($A179="","",SUMIFS('Repeat Detail'!$J$6:$J$1005,'Repeat Detail'!$A$6:$A$1005,"Daily",'Repeat Detail'!$B$6:$B$1005,$A179))</x:f>
      </x:c>
      <x:c r="D179" s="20" t="str">
        <x:f>IF($A179="","",SUMIFS('Repeat Detail'!$K$6:$K$1005,'Repeat Detail'!$A$6:$A$1005,"Daily",'Repeat Detail'!$B$6:$B$1005,$A179))</x:f>
      </x:c>
      <x:c r="E179" s="20" t="str">
        <x:f>IF($A179="","",SUMIFS('Repeat Detail'!$L$6:$L$1005,'Repeat Detail'!$A$6:$A$1005,"Daily",'Repeat Detail'!$B$6:$B$1005,$A179))</x:f>
      </x:c>
      <x:c r="F179" s="22" t="str">
        <x:f>IF(A179="","",IF(D179=0,"n.a.",E179/D179))</x:f>
      </x:c>
      <x:c r="G179" s="20" t="str">
        <x:f>IF($A179="","",SUMIFS('Repeat Detail'!$M$6:$M$1005,'Repeat Detail'!$A$6:$A$1005,"Daily",'Repeat Detail'!$B$6:$B$1005,$A179))</x:f>
      </x:c>
      <x:c r="H179" s="22" t="str">
        <x:f>IF(A179="","",IF(C179=0,"n.a.",G179/C179))</x:f>
      </x:c>
      <x:c r="I179" s="20" t="str">
        <x:f>IF($A179="","",SUMIFS('Repeat Detail'!$N$6:$N$1005,'Repeat Detail'!$A$6:$A$1005,"Daily",'Repeat Detail'!$B$6:$B$1005,$A179))</x:f>
      </x:c>
      <x:c r="J179" s="20" t="str">
        <x:f>IF(A179="","",B179-C179)</x:f>
      </x:c>
    </x:row>
    <x:row r="180">
      <x:c r="A180" s="12" t="str">
        <x:f>IF(A179="","",IF(A179+1&gt;IF(AND(COUNTIF('Repeat Detail'!$A$6:$A$1005,"Quality")=21,COUNTIF('Repeat Detail'!$A$6:$A$1005,"Menu")=12,COUNTIF('Repeat Detail'!$A$6:$A$1005,"Daily")=SUMIFS('Repeat Detail'!$O$6:$O$1005,'Repeat Detail'!$A$6:$A$1005,"Quality",'Repeat Detail'!$H$6:$H$1005,"Date span")),SUMIFS('Repeat Detail'!$O$6:$O$1005,'Repeat Detail'!$A$6:$A$1005,"Quality",'Repeat Detail'!$H$6:$H$1005,"Last date"),NA()),"",A179+1))</x:f>
      </x:c>
      <x:c r="B180" s="20" t="str">
        <x:f>IF($A180="","",SUMIFS('Repeat Detail'!$I$6:$I$1005,'Repeat Detail'!$A$6:$A$1005,"Daily",'Repeat Detail'!$B$6:$B$1005,$A180))</x:f>
      </x:c>
      <x:c r="C180" s="20" t="str">
        <x:f>IF($A180="","",SUMIFS('Repeat Detail'!$J$6:$J$1005,'Repeat Detail'!$A$6:$A$1005,"Daily",'Repeat Detail'!$B$6:$B$1005,$A180))</x:f>
      </x:c>
      <x:c r="D180" s="20" t="str">
        <x:f>IF($A180="","",SUMIFS('Repeat Detail'!$K$6:$K$1005,'Repeat Detail'!$A$6:$A$1005,"Daily",'Repeat Detail'!$B$6:$B$1005,$A180))</x:f>
      </x:c>
      <x:c r="E180" s="20" t="str">
        <x:f>IF($A180="","",SUMIFS('Repeat Detail'!$L$6:$L$1005,'Repeat Detail'!$A$6:$A$1005,"Daily",'Repeat Detail'!$B$6:$B$1005,$A180))</x:f>
      </x:c>
      <x:c r="F180" s="22" t="str">
        <x:f>IF(A180="","",IF(D180=0,"n.a.",E180/D180))</x:f>
      </x:c>
      <x:c r="G180" s="20" t="str">
        <x:f>IF($A180="","",SUMIFS('Repeat Detail'!$M$6:$M$1005,'Repeat Detail'!$A$6:$A$1005,"Daily",'Repeat Detail'!$B$6:$B$1005,$A180))</x:f>
      </x:c>
      <x:c r="H180" s="22" t="str">
        <x:f>IF(A180="","",IF(C180=0,"n.a.",G180/C180))</x:f>
      </x:c>
      <x:c r="I180" s="20" t="str">
        <x:f>IF($A180="","",SUMIFS('Repeat Detail'!$N$6:$N$1005,'Repeat Detail'!$A$6:$A$1005,"Daily",'Repeat Detail'!$B$6:$B$1005,$A180))</x:f>
      </x:c>
      <x:c r="J180" s="20" t="str">
        <x:f>IF(A180="","",B180-C180)</x:f>
      </x:c>
    </x:row>
    <x:row r="181">
      <x:c r="A181" s="12" t="str">
        <x:f>IF(A180="","",IF(A180+1&gt;IF(AND(COUNTIF('Repeat Detail'!$A$6:$A$1005,"Quality")=21,COUNTIF('Repeat Detail'!$A$6:$A$1005,"Menu")=12,COUNTIF('Repeat Detail'!$A$6:$A$1005,"Daily")=SUMIFS('Repeat Detail'!$O$6:$O$1005,'Repeat Detail'!$A$6:$A$1005,"Quality",'Repeat Detail'!$H$6:$H$1005,"Date span")),SUMIFS('Repeat Detail'!$O$6:$O$1005,'Repeat Detail'!$A$6:$A$1005,"Quality",'Repeat Detail'!$H$6:$H$1005,"Last date"),NA()),"",A180+1))</x:f>
      </x:c>
      <x:c r="B181" s="20" t="str">
        <x:f>IF($A181="","",SUMIFS('Repeat Detail'!$I$6:$I$1005,'Repeat Detail'!$A$6:$A$1005,"Daily",'Repeat Detail'!$B$6:$B$1005,$A181))</x:f>
      </x:c>
      <x:c r="C181" s="20" t="str">
        <x:f>IF($A181="","",SUMIFS('Repeat Detail'!$J$6:$J$1005,'Repeat Detail'!$A$6:$A$1005,"Daily",'Repeat Detail'!$B$6:$B$1005,$A181))</x:f>
      </x:c>
      <x:c r="D181" s="20" t="str">
        <x:f>IF($A181="","",SUMIFS('Repeat Detail'!$K$6:$K$1005,'Repeat Detail'!$A$6:$A$1005,"Daily",'Repeat Detail'!$B$6:$B$1005,$A181))</x:f>
      </x:c>
      <x:c r="E181" s="20" t="str">
        <x:f>IF($A181="","",SUMIFS('Repeat Detail'!$L$6:$L$1005,'Repeat Detail'!$A$6:$A$1005,"Daily",'Repeat Detail'!$B$6:$B$1005,$A181))</x:f>
      </x:c>
      <x:c r="F181" s="22" t="str">
        <x:f>IF(A181="","",IF(D181=0,"n.a.",E181/D181))</x:f>
      </x:c>
      <x:c r="G181" s="20" t="str">
        <x:f>IF($A181="","",SUMIFS('Repeat Detail'!$M$6:$M$1005,'Repeat Detail'!$A$6:$A$1005,"Daily",'Repeat Detail'!$B$6:$B$1005,$A181))</x:f>
      </x:c>
      <x:c r="H181" s="22" t="str">
        <x:f>IF(A181="","",IF(C181=0,"n.a.",G181/C181))</x:f>
      </x:c>
      <x:c r="I181" s="20" t="str">
        <x:f>IF($A181="","",SUMIFS('Repeat Detail'!$N$6:$N$1005,'Repeat Detail'!$A$6:$A$1005,"Daily",'Repeat Detail'!$B$6:$B$1005,$A181))</x:f>
      </x:c>
      <x:c r="J181" s="20" t="str">
        <x:f>IF(A181="","",B181-C181)</x:f>
      </x:c>
    </x:row>
    <x:row r="182">
      <x:c r="A182" s="12" t="str">
        <x:f>IF(A181="","",IF(A181+1&gt;IF(AND(COUNTIF('Repeat Detail'!$A$6:$A$1005,"Quality")=21,COUNTIF('Repeat Detail'!$A$6:$A$1005,"Menu")=12,COUNTIF('Repeat Detail'!$A$6:$A$1005,"Daily")=SUMIFS('Repeat Detail'!$O$6:$O$1005,'Repeat Detail'!$A$6:$A$1005,"Quality",'Repeat Detail'!$H$6:$H$1005,"Date span")),SUMIFS('Repeat Detail'!$O$6:$O$1005,'Repeat Detail'!$A$6:$A$1005,"Quality",'Repeat Detail'!$H$6:$H$1005,"Last date"),NA()),"",A181+1))</x:f>
      </x:c>
      <x:c r="B182" s="20" t="str">
        <x:f>IF($A182="","",SUMIFS('Repeat Detail'!$I$6:$I$1005,'Repeat Detail'!$A$6:$A$1005,"Daily",'Repeat Detail'!$B$6:$B$1005,$A182))</x:f>
      </x:c>
      <x:c r="C182" s="20" t="str">
        <x:f>IF($A182="","",SUMIFS('Repeat Detail'!$J$6:$J$1005,'Repeat Detail'!$A$6:$A$1005,"Daily",'Repeat Detail'!$B$6:$B$1005,$A182))</x:f>
      </x:c>
      <x:c r="D182" s="20" t="str">
        <x:f>IF($A182="","",SUMIFS('Repeat Detail'!$K$6:$K$1005,'Repeat Detail'!$A$6:$A$1005,"Daily",'Repeat Detail'!$B$6:$B$1005,$A182))</x:f>
      </x:c>
      <x:c r="E182" s="20" t="str">
        <x:f>IF($A182="","",SUMIFS('Repeat Detail'!$L$6:$L$1005,'Repeat Detail'!$A$6:$A$1005,"Daily",'Repeat Detail'!$B$6:$B$1005,$A182))</x:f>
      </x:c>
      <x:c r="F182" s="22" t="str">
        <x:f>IF(A182="","",IF(D182=0,"n.a.",E182/D182))</x:f>
      </x:c>
      <x:c r="G182" s="20" t="str">
        <x:f>IF($A182="","",SUMIFS('Repeat Detail'!$M$6:$M$1005,'Repeat Detail'!$A$6:$A$1005,"Daily",'Repeat Detail'!$B$6:$B$1005,$A182))</x:f>
      </x:c>
      <x:c r="H182" s="22" t="str">
        <x:f>IF(A182="","",IF(C182=0,"n.a.",G182/C182))</x:f>
      </x:c>
      <x:c r="I182" s="20" t="str">
        <x:f>IF($A182="","",SUMIFS('Repeat Detail'!$N$6:$N$1005,'Repeat Detail'!$A$6:$A$1005,"Daily",'Repeat Detail'!$B$6:$B$1005,$A182))</x:f>
      </x:c>
      <x:c r="J182" s="20" t="str">
        <x:f>IF(A182="","",B182-C182)</x:f>
      </x:c>
    </x:row>
    <x:row r="183">
      <x:c r="A183" s="12" t="str">
        <x:f>IF(A182="","",IF(A182+1&gt;IF(AND(COUNTIF('Repeat Detail'!$A$6:$A$1005,"Quality")=21,COUNTIF('Repeat Detail'!$A$6:$A$1005,"Menu")=12,COUNTIF('Repeat Detail'!$A$6:$A$1005,"Daily")=SUMIFS('Repeat Detail'!$O$6:$O$1005,'Repeat Detail'!$A$6:$A$1005,"Quality",'Repeat Detail'!$H$6:$H$1005,"Date span")),SUMIFS('Repeat Detail'!$O$6:$O$1005,'Repeat Detail'!$A$6:$A$1005,"Quality",'Repeat Detail'!$H$6:$H$1005,"Last date"),NA()),"",A182+1))</x:f>
      </x:c>
      <x:c r="B183" s="20" t="str">
        <x:f>IF($A183="","",SUMIFS('Repeat Detail'!$I$6:$I$1005,'Repeat Detail'!$A$6:$A$1005,"Daily",'Repeat Detail'!$B$6:$B$1005,$A183))</x:f>
      </x:c>
      <x:c r="C183" s="20" t="str">
        <x:f>IF($A183="","",SUMIFS('Repeat Detail'!$J$6:$J$1005,'Repeat Detail'!$A$6:$A$1005,"Daily",'Repeat Detail'!$B$6:$B$1005,$A183))</x:f>
      </x:c>
      <x:c r="D183" s="20" t="str">
        <x:f>IF($A183="","",SUMIFS('Repeat Detail'!$K$6:$K$1005,'Repeat Detail'!$A$6:$A$1005,"Daily",'Repeat Detail'!$B$6:$B$1005,$A183))</x:f>
      </x:c>
      <x:c r="E183" s="20" t="str">
        <x:f>IF($A183="","",SUMIFS('Repeat Detail'!$L$6:$L$1005,'Repeat Detail'!$A$6:$A$1005,"Daily",'Repeat Detail'!$B$6:$B$1005,$A183))</x:f>
      </x:c>
      <x:c r="F183" s="22" t="str">
        <x:f>IF(A183="","",IF(D183=0,"n.a.",E183/D183))</x:f>
      </x:c>
      <x:c r="G183" s="20" t="str">
        <x:f>IF($A183="","",SUMIFS('Repeat Detail'!$M$6:$M$1005,'Repeat Detail'!$A$6:$A$1005,"Daily",'Repeat Detail'!$B$6:$B$1005,$A183))</x:f>
      </x:c>
      <x:c r="H183" s="22" t="str">
        <x:f>IF(A183="","",IF(C183=0,"n.a.",G183/C183))</x:f>
      </x:c>
      <x:c r="I183" s="20" t="str">
        <x:f>IF($A183="","",SUMIFS('Repeat Detail'!$N$6:$N$1005,'Repeat Detail'!$A$6:$A$1005,"Daily",'Repeat Detail'!$B$6:$B$1005,$A183))</x:f>
      </x:c>
      <x:c r="J183" s="20" t="str">
        <x:f>IF(A183="","",B183-C183)</x:f>
      </x:c>
    </x:row>
    <x:row r="184">
      <x:c r="A184" s="12" t="str">
        <x:f>IF(A183="","",IF(A183+1&gt;IF(AND(COUNTIF('Repeat Detail'!$A$6:$A$1005,"Quality")=21,COUNTIF('Repeat Detail'!$A$6:$A$1005,"Menu")=12,COUNTIF('Repeat Detail'!$A$6:$A$1005,"Daily")=SUMIFS('Repeat Detail'!$O$6:$O$1005,'Repeat Detail'!$A$6:$A$1005,"Quality",'Repeat Detail'!$H$6:$H$1005,"Date span")),SUMIFS('Repeat Detail'!$O$6:$O$1005,'Repeat Detail'!$A$6:$A$1005,"Quality",'Repeat Detail'!$H$6:$H$1005,"Last date"),NA()),"",A183+1))</x:f>
      </x:c>
      <x:c r="B184" s="20" t="str">
        <x:f>IF($A184="","",SUMIFS('Repeat Detail'!$I$6:$I$1005,'Repeat Detail'!$A$6:$A$1005,"Daily",'Repeat Detail'!$B$6:$B$1005,$A184))</x:f>
      </x:c>
      <x:c r="C184" s="20" t="str">
        <x:f>IF($A184="","",SUMIFS('Repeat Detail'!$J$6:$J$1005,'Repeat Detail'!$A$6:$A$1005,"Daily",'Repeat Detail'!$B$6:$B$1005,$A184))</x:f>
      </x:c>
      <x:c r="D184" s="20" t="str">
        <x:f>IF($A184="","",SUMIFS('Repeat Detail'!$K$6:$K$1005,'Repeat Detail'!$A$6:$A$1005,"Daily",'Repeat Detail'!$B$6:$B$1005,$A184))</x:f>
      </x:c>
      <x:c r="E184" s="20" t="str">
        <x:f>IF($A184="","",SUMIFS('Repeat Detail'!$L$6:$L$1005,'Repeat Detail'!$A$6:$A$1005,"Daily",'Repeat Detail'!$B$6:$B$1005,$A184))</x:f>
      </x:c>
      <x:c r="F184" s="22" t="str">
        <x:f>IF(A184="","",IF(D184=0,"n.a.",E184/D184))</x:f>
      </x:c>
      <x:c r="G184" s="20" t="str">
        <x:f>IF($A184="","",SUMIFS('Repeat Detail'!$M$6:$M$1005,'Repeat Detail'!$A$6:$A$1005,"Daily",'Repeat Detail'!$B$6:$B$1005,$A184))</x:f>
      </x:c>
      <x:c r="H184" s="22" t="str">
        <x:f>IF(A184="","",IF(C184=0,"n.a.",G184/C184))</x:f>
      </x:c>
      <x:c r="I184" s="20" t="str">
        <x:f>IF($A184="","",SUMIFS('Repeat Detail'!$N$6:$N$1005,'Repeat Detail'!$A$6:$A$1005,"Daily",'Repeat Detail'!$B$6:$B$1005,$A184))</x:f>
      </x:c>
      <x:c r="J184" s="20" t="str">
        <x:f>IF(A184="","",B184-C184)</x:f>
      </x:c>
    </x:row>
    <x:row r="185">
      <x:c r="A185" s="12" t="str">
        <x:f>IF(A184="","",IF(A184+1&gt;IF(AND(COUNTIF('Repeat Detail'!$A$6:$A$1005,"Quality")=21,COUNTIF('Repeat Detail'!$A$6:$A$1005,"Menu")=12,COUNTIF('Repeat Detail'!$A$6:$A$1005,"Daily")=SUMIFS('Repeat Detail'!$O$6:$O$1005,'Repeat Detail'!$A$6:$A$1005,"Quality",'Repeat Detail'!$H$6:$H$1005,"Date span")),SUMIFS('Repeat Detail'!$O$6:$O$1005,'Repeat Detail'!$A$6:$A$1005,"Quality",'Repeat Detail'!$H$6:$H$1005,"Last date"),NA()),"",A184+1))</x:f>
      </x:c>
      <x:c r="B185" s="20" t="str">
        <x:f>IF($A185="","",SUMIFS('Repeat Detail'!$I$6:$I$1005,'Repeat Detail'!$A$6:$A$1005,"Daily",'Repeat Detail'!$B$6:$B$1005,$A185))</x:f>
      </x:c>
      <x:c r="C185" s="20" t="str">
        <x:f>IF($A185="","",SUMIFS('Repeat Detail'!$J$6:$J$1005,'Repeat Detail'!$A$6:$A$1005,"Daily",'Repeat Detail'!$B$6:$B$1005,$A185))</x:f>
      </x:c>
      <x:c r="D185" s="20" t="str">
        <x:f>IF($A185="","",SUMIFS('Repeat Detail'!$K$6:$K$1005,'Repeat Detail'!$A$6:$A$1005,"Daily",'Repeat Detail'!$B$6:$B$1005,$A185))</x:f>
      </x:c>
      <x:c r="E185" s="20" t="str">
        <x:f>IF($A185="","",SUMIFS('Repeat Detail'!$L$6:$L$1005,'Repeat Detail'!$A$6:$A$1005,"Daily",'Repeat Detail'!$B$6:$B$1005,$A185))</x:f>
      </x:c>
      <x:c r="F185" s="22" t="str">
        <x:f>IF(A185="","",IF(D185=0,"n.a.",E185/D185))</x:f>
      </x:c>
      <x:c r="G185" s="20" t="str">
        <x:f>IF($A185="","",SUMIFS('Repeat Detail'!$M$6:$M$1005,'Repeat Detail'!$A$6:$A$1005,"Daily",'Repeat Detail'!$B$6:$B$1005,$A185))</x:f>
      </x:c>
      <x:c r="H185" s="22" t="str">
        <x:f>IF(A185="","",IF(C185=0,"n.a.",G185/C185))</x:f>
      </x:c>
      <x:c r="I185" s="20" t="str">
        <x:f>IF($A185="","",SUMIFS('Repeat Detail'!$N$6:$N$1005,'Repeat Detail'!$A$6:$A$1005,"Daily",'Repeat Detail'!$B$6:$B$1005,$A185))</x:f>
      </x:c>
      <x:c r="J185" s="20" t="str">
        <x:f>IF(A185="","",B185-C185)</x:f>
      </x:c>
    </x:row>
    <x:row r="186">
      <x:c r="A186" s="12" t="str">
        <x:f>IF(A185="","",IF(A185+1&gt;IF(AND(COUNTIF('Repeat Detail'!$A$6:$A$1005,"Quality")=21,COUNTIF('Repeat Detail'!$A$6:$A$1005,"Menu")=12,COUNTIF('Repeat Detail'!$A$6:$A$1005,"Daily")=SUMIFS('Repeat Detail'!$O$6:$O$1005,'Repeat Detail'!$A$6:$A$1005,"Quality",'Repeat Detail'!$H$6:$H$1005,"Date span")),SUMIFS('Repeat Detail'!$O$6:$O$1005,'Repeat Detail'!$A$6:$A$1005,"Quality",'Repeat Detail'!$H$6:$H$1005,"Last date"),NA()),"",A185+1))</x:f>
      </x:c>
      <x:c r="B186" s="20" t="str">
        <x:f>IF($A186="","",SUMIFS('Repeat Detail'!$I$6:$I$1005,'Repeat Detail'!$A$6:$A$1005,"Daily",'Repeat Detail'!$B$6:$B$1005,$A186))</x:f>
      </x:c>
      <x:c r="C186" s="20" t="str">
        <x:f>IF($A186="","",SUMIFS('Repeat Detail'!$J$6:$J$1005,'Repeat Detail'!$A$6:$A$1005,"Daily",'Repeat Detail'!$B$6:$B$1005,$A186))</x:f>
      </x:c>
      <x:c r="D186" s="20" t="str">
        <x:f>IF($A186="","",SUMIFS('Repeat Detail'!$K$6:$K$1005,'Repeat Detail'!$A$6:$A$1005,"Daily",'Repeat Detail'!$B$6:$B$1005,$A186))</x:f>
      </x:c>
      <x:c r="E186" s="20" t="str">
        <x:f>IF($A186="","",SUMIFS('Repeat Detail'!$L$6:$L$1005,'Repeat Detail'!$A$6:$A$1005,"Daily",'Repeat Detail'!$B$6:$B$1005,$A186))</x:f>
      </x:c>
      <x:c r="F186" s="22" t="str">
        <x:f>IF(A186="","",IF(D186=0,"n.a.",E186/D186))</x:f>
      </x:c>
      <x:c r="G186" s="20" t="str">
        <x:f>IF($A186="","",SUMIFS('Repeat Detail'!$M$6:$M$1005,'Repeat Detail'!$A$6:$A$1005,"Daily",'Repeat Detail'!$B$6:$B$1005,$A186))</x:f>
      </x:c>
      <x:c r="H186" s="22" t="str">
        <x:f>IF(A186="","",IF(C186=0,"n.a.",G186/C186))</x:f>
      </x:c>
      <x:c r="I186" s="20" t="str">
        <x:f>IF($A186="","",SUMIFS('Repeat Detail'!$N$6:$N$1005,'Repeat Detail'!$A$6:$A$1005,"Daily",'Repeat Detail'!$B$6:$B$1005,$A186))</x:f>
      </x:c>
      <x:c r="J186" s="20" t="str">
        <x:f>IF(A186="","",B186-C186)</x:f>
      </x:c>
    </x:row>
    <x:row r="187">
      <x:c r="A187" s="12" t="str">
        <x:f>IF(A186="","",IF(A186+1&gt;IF(AND(COUNTIF('Repeat Detail'!$A$6:$A$1005,"Quality")=21,COUNTIF('Repeat Detail'!$A$6:$A$1005,"Menu")=12,COUNTIF('Repeat Detail'!$A$6:$A$1005,"Daily")=SUMIFS('Repeat Detail'!$O$6:$O$1005,'Repeat Detail'!$A$6:$A$1005,"Quality",'Repeat Detail'!$H$6:$H$1005,"Date span")),SUMIFS('Repeat Detail'!$O$6:$O$1005,'Repeat Detail'!$A$6:$A$1005,"Quality",'Repeat Detail'!$H$6:$H$1005,"Last date"),NA()),"",A186+1))</x:f>
      </x:c>
      <x:c r="B187" s="20" t="str">
        <x:f>IF($A187="","",SUMIFS('Repeat Detail'!$I$6:$I$1005,'Repeat Detail'!$A$6:$A$1005,"Daily",'Repeat Detail'!$B$6:$B$1005,$A187))</x:f>
      </x:c>
      <x:c r="C187" s="20" t="str">
        <x:f>IF($A187="","",SUMIFS('Repeat Detail'!$J$6:$J$1005,'Repeat Detail'!$A$6:$A$1005,"Daily",'Repeat Detail'!$B$6:$B$1005,$A187))</x:f>
      </x:c>
      <x:c r="D187" s="20" t="str">
        <x:f>IF($A187="","",SUMIFS('Repeat Detail'!$K$6:$K$1005,'Repeat Detail'!$A$6:$A$1005,"Daily",'Repeat Detail'!$B$6:$B$1005,$A187))</x:f>
      </x:c>
      <x:c r="E187" s="20" t="str">
        <x:f>IF($A187="","",SUMIFS('Repeat Detail'!$L$6:$L$1005,'Repeat Detail'!$A$6:$A$1005,"Daily",'Repeat Detail'!$B$6:$B$1005,$A187))</x:f>
      </x:c>
      <x:c r="F187" s="22" t="str">
        <x:f>IF(A187="","",IF(D187=0,"n.a.",E187/D187))</x:f>
      </x:c>
      <x:c r="G187" s="20" t="str">
        <x:f>IF($A187="","",SUMIFS('Repeat Detail'!$M$6:$M$1005,'Repeat Detail'!$A$6:$A$1005,"Daily",'Repeat Detail'!$B$6:$B$1005,$A187))</x:f>
      </x:c>
      <x:c r="H187" s="22" t="str">
        <x:f>IF(A187="","",IF(C187=0,"n.a.",G187/C187))</x:f>
      </x:c>
      <x:c r="I187" s="20" t="str">
        <x:f>IF($A187="","",SUMIFS('Repeat Detail'!$N$6:$N$1005,'Repeat Detail'!$A$6:$A$1005,"Daily",'Repeat Detail'!$B$6:$B$1005,$A187))</x:f>
      </x:c>
      <x:c r="J187" s="20" t="str">
        <x:f>IF(A187="","",B187-C187)</x:f>
      </x:c>
    </x:row>
    <x:row r="188">
      <x:c r="A188" s="12" t="str">
        <x:f>IF(A187="","",IF(A187+1&gt;IF(AND(COUNTIF('Repeat Detail'!$A$6:$A$1005,"Quality")=21,COUNTIF('Repeat Detail'!$A$6:$A$1005,"Menu")=12,COUNTIF('Repeat Detail'!$A$6:$A$1005,"Daily")=SUMIFS('Repeat Detail'!$O$6:$O$1005,'Repeat Detail'!$A$6:$A$1005,"Quality",'Repeat Detail'!$H$6:$H$1005,"Date span")),SUMIFS('Repeat Detail'!$O$6:$O$1005,'Repeat Detail'!$A$6:$A$1005,"Quality",'Repeat Detail'!$H$6:$H$1005,"Last date"),NA()),"",A187+1))</x:f>
      </x:c>
      <x:c r="B188" s="20" t="str">
        <x:f>IF($A188="","",SUMIFS('Repeat Detail'!$I$6:$I$1005,'Repeat Detail'!$A$6:$A$1005,"Daily",'Repeat Detail'!$B$6:$B$1005,$A188))</x:f>
      </x:c>
      <x:c r="C188" s="20" t="str">
        <x:f>IF($A188="","",SUMIFS('Repeat Detail'!$J$6:$J$1005,'Repeat Detail'!$A$6:$A$1005,"Daily",'Repeat Detail'!$B$6:$B$1005,$A188))</x:f>
      </x:c>
      <x:c r="D188" s="20" t="str">
        <x:f>IF($A188="","",SUMIFS('Repeat Detail'!$K$6:$K$1005,'Repeat Detail'!$A$6:$A$1005,"Daily",'Repeat Detail'!$B$6:$B$1005,$A188))</x:f>
      </x:c>
      <x:c r="E188" s="20" t="str">
        <x:f>IF($A188="","",SUMIFS('Repeat Detail'!$L$6:$L$1005,'Repeat Detail'!$A$6:$A$1005,"Daily",'Repeat Detail'!$B$6:$B$1005,$A188))</x:f>
      </x:c>
      <x:c r="F188" s="22" t="str">
        <x:f>IF(A188="","",IF(D188=0,"n.a.",E188/D188))</x:f>
      </x:c>
      <x:c r="G188" s="20" t="str">
        <x:f>IF($A188="","",SUMIFS('Repeat Detail'!$M$6:$M$1005,'Repeat Detail'!$A$6:$A$1005,"Daily",'Repeat Detail'!$B$6:$B$1005,$A188))</x:f>
      </x:c>
      <x:c r="H188" s="22" t="str">
        <x:f>IF(A188="","",IF(C188=0,"n.a.",G188/C188))</x:f>
      </x:c>
      <x:c r="I188" s="20" t="str">
        <x:f>IF($A188="","",SUMIFS('Repeat Detail'!$N$6:$N$1005,'Repeat Detail'!$A$6:$A$1005,"Daily",'Repeat Detail'!$B$6:$B$1005,$A188))</x:f>
      </x:c>
      <x:c r="J188" s="20" t="str">
        <x:f>IF(A188="","",B188-C188)</x:f>
      </x:c>
    </x:row>
    <x:row r="189">
      <x:c r="A189" s="12" t="str">
        <x:f>IF(A188="","",IF(A188+1&gt;IF(AND(COUNTIF('Repeat Detail'!$A$6:$A$1005,"Quality")=21,COUNTIF('Repeat Detail'!$A$6:$A$1005,"Menu")=12,COUNTIF('Repeat Detail'!$A$6:$A$1005,"Daily")=SUMIFS('Repeat Detail'!$O$6:$O$1005,'Repeat Detail'!$A$6:$A$1005,"Quality",'Repeat Detail'!$H$6:$H$1005,"Date span")),SUMIFS('Repeat Detail'!$O$6:$O$1005,'Repeat Detail'!$A$6:$A$1005,"Quality",'Repeat Detail'!$H$6:$H$1005,"Last date"),NA()),"",A188+1))</x:f>
      </x:c>
      <x:c r="B189" s="20" t="str">
        <x:f>IF($A189="","",SUMIFS('Repeat Detail'!$I$6:$I$1005,'Repeat Detail'!$A$6:$A$1005,"Daily",'Repeat Detail'!$B$6:$B$1005,$A189))</x:f>
      </x:c>
      <x:c r="C189" s="20" t="str">
        <x:f>IF($A189="","",SUMIFS('Repeat Detail'!$J$6:$J$1005,'Repeat Detail'!$A$6:$A$1005,"Daily",'Repeat Detail'!$B$6:$B$1005,$A189))</x:f>
      </x:c>
      <x:c r="D189" s="20" t="str">
        <x:f>IF($A189="","",SUMIFS('Repeat Detail'!$K$6:$K$1005,'Repeat Detail'!$A$6:$A$1005,"Daily",'Repeat Detail'!$B$6:$B$1005,$A189))</x:f>
      </x:c>
      <x:c r="E189" s="20" t="str">
        <x:f>IF($A189="","",SUMIFS('Repeat Detail'!$L$6:$L$1005,'Repeat Detail'!$A$6:$A$1005,"Daily",'Repeat Detail'!$B$6:$B$1005,$A189))</x:f>
      </x:c>
      <x:c r="F189" s="22" t="str">
        <x:f>IF(A189="","",IF(D189=0,"n.a.",E189/D189))</x:f>
      </x:c>
      <x:c r="G189" s="20" t="str">
        <x:f>IF($A189="","",SUMIFS('Repeat Detail'!$M$6:$M$1005,'Repeat Detail'!$A$6:$A$1005,"Daily",'Repeat Detail'!$B$6:$B$1005,$A189))</x:f>
      </x:c>
      <x:c r="H189" s="22" t="str">
        <x:f>IF(A189="","",IF(C189=0,"n.a.",G189/C189))</x:f>
      </x:c>
      <x:c r="I189" s="20" t="str">
        <x:f>IF($A189="","",SUMIFS('Repeat Detail'!$N$6:$N$1005,'Repeat Detail'!$A$6:$A$1005,"Daily",'Repeat Detail'!$B$6:$B$1005,$A189))</x:f>
      </x:c>
      <x:c r="J189" s="20" t="str">
        <x:f>IF(A189="","",B189-C189)</x:f>
      </x:c>
    </x:row>
    <x:row r="190">
      <x:c r="A190" s="12" t="str">
        <x:f>IF(A189="","",IF(A189+1&gt;IF(AND(COUNTIF('Repeat Detail'!$A$6:$A$1005,"Quality")=21,COUNTIF('Repeat Detail'!$A$6:$A$1005,"Menu")=12,COUNTIF('Repeat Detail'!$A$6:$A$1005,"Daily")=SUMIFS('Repeat Detail'!$O$6:$O$1005,'Repeat Detail'!$A$6:$A$1005,"Quality",'Repeat Detail'!$H$6:$H$1005,"Date span")),SUMIFS('Repeat Detail'!$O$6:$O$1005,'Repeat Detail'!$A$6:$A$1005,"Quality",'Repeat Detail'!$H$6:$H$1005,"Last date"),NA()),"",A189+1))</x:f>
      </x:c>
      <x:c r="B190" s="20" t="str">
        <x:f>IF($A190="","",SUMIFS('Repeat Detail'!$I$6:$I$1005,'Repeat Detail'!$A$6:$A$1005,"Daily",'Repeat Detail'!$B$6:$B$1005,$A190))</x:f>
      </x:c>
      <x:c r="C190" s="20" t="str">
        <x:f>IF($A190="","",SUMIFS('Repeat Detail'!$J$6:$J$1005,'Repeat Detail'!$A$6:$A$1005,"Daily",'Repeat Detail'!$B$6:$B$1005,$A190))</x:f>
      </x:c>
      <x:c r="D190" s="20" t="str">
        <x:f>IF($A190="","",SUMIFS('Repeat Detail'!$K$6:$K$1005,'Repeat Detail'!$A$6:$A$1005,"Daily",'Repeat Detail'!$B$6:$B$1005,$A190))</x:f>
      </x:c>
      <x:c r="E190" s="20" t="str">
        <x:f>IF($A190="","",SUMIFS('Repeat Detail'!$L$6:$L$1005,'Repeat Detail'!$A$6:$A$1005,"Daily",'Repeat Detail'!$B$6:$B$1005,$A190))</x:f>
      </x:c>
      <x:c r="F190" s="22" t="str">
        <x:f>IF(A190="","",IF(D190=0,"n.a.",E190/D190))</x:f>
      </x:c>
      <x:c r="G190" s="20" t="str">
        <x:f>IF($A190="","",SUMIFS('Repeat Detail'!$M$6:$M$1005,'Repeat Detail'!$A$6:$A$1005,"Daily",'Repeat Detail'!$B$6:$B$1005,$A190))</x:f>
      </x:c>
      <x:c r="H190" s="22" t="str">
        <x:f>IF(A190="","",IF(C190=0,"n.a.",G190/C190))</x:f>
      </x:c>
      <x:c r="I190" s="20" t="str">
        <x:f>IF($A190="","",SUMIFS('Repeat Detail'!$N$6:$N$1005,'Repeat Detail'!$A$6:$A$1005,"Daily",'Repeat Detail'!$B$6:$B$1005,$A190))</x:f>
      </x:c>
      <x:c r="J190" s="20" t="str">
        <x:f>IF(A190="","",B190-C190)</x:f>
      </x:c>
    </x:row>
    <x:row r="191">
      <x:c r="A191" s="12" t="str">
        <x:f>IF(A190="","",IF(A190+1&gt;IF(AND(COUNTIF('Repeat Detail'!$A$6:$A$1005,"Quality")=21,COUNTIF('Repeat Detail'!$A$6:$A$1005,"Menu")=12,COUNTIF('Repeat Detail'!$A$6:$A$1005,"Daily")=SUMIFS('Repeat Detail'!$O$6:$O$1005,'Repeat Detail'!$A$6:$A$1005,"Quality",'Repeat Detail'!$H$6:$H$1005,"Date span")),SUMIFS('Repeat Detail'!$O$6:$O$1005,'Repeat Detail'!$A$6:$A$1005,"Quality",'Repeat Detail'!$H$6:$H$1005,"Last date"),NA()),"",A190+1))</x:f>
      </x:c>
      <x:c r="B191" s="20" t="str">
        <x:f>IF($A191="","",SUMIFS('Repeat Detail'!$I$6:$I$1005,'Repeat Detail'!$A$6:$A$1005,"Daily",'Repeat Detail'!$B$6:$B$1005,$A191))</x:f>
      </x:c>
      <x:c r="C191" s="20" t="str">
        <x:f>IF($A191="","",SUMIFS('Repeat Detail'!$J$6:$J$1005,'Repeat Detail'!$A$6:$A$1005,"Daily",'Repeat Detail'!$B$6:$B$1005,$A191))</x:f>
      </x:c>
      <x:c r="D191" s="20" t="str">
        <x:f>IF($A191="","",SUMIFS('Repeat Detail'!$K$6:$K$1005,'Repeat Detail'!$A$6:$A$1005,"Daily",'Repeat Detail'!$B$6:$B$1005,$A191))</x:f>
      </x:c>
      <x:c r="E191" s="20" t="str">
        <x:f>IF($A191="","",SUMIFS('Repeat Detail'!$L$6:$L$1005,'Repeat Detail'!$A$6:$A$1005,"Daily",'Repeat Detail'!$B$6:$B$1005,$A191))</x:f>
      </x:c>
      <x:c r="F191" s="22" t="str">
        <x:f>IF(A191="","",IF(D191=0,"n.a.",E191/D191))</x:f>
      </x:c>
      <x:c r="G191" s="20" t="str">
        <x:f>IF($A191="","",SUMIFS('Repeat Detail'!$M$6:$M$1005,'Repeat Detail'!$A$6:$A$1005,"Daily",'Repeat Detail'!$B$6:$B$1005,$A191))</x:f>
      </x:c>
      <x:c r="H191" s="22" t="str">
        <x:f>IF(A191="","",IF(C191=0,"n.a.",G191/C191))</x:f>
      </x:c>
      <x:c r="I191" s="20" t="str">
        <x:f>IF($A191="","",SUMIFS('Repeat Detail'!$N$6:$N$1005,'Repeat Detail'!$A$6:$A$1005,"Daily",'Repeat Detail'!$B$6:$B$1005,$A191))</x:f>
      </x:c>
      <x:c r="J191" s="20" t="str">
        <x:f>IF(A191="","",B191-C191)</x:f>
      </x:c>
    </x:row>
    <x:row r="192">
      <x:c r="A192" s="12" t="str">
        <x:f>IF(A191="","",IF(A191+1&gt;IF(AND(COUNTIF('Repeat Detail'!$A$6:$A$1005,"Quality")=21,COUNTIF('Repeat Detail'!$A$6:$A$1005,"Menu")=12,COUNTIF('Repeat Detail'!$A$6:$A$1005,"Daily")=SUMIFS('Repeat Detail'!$O$6:$O$1005,'Repeat Detail'!$A$6:$A$1005,"Quality",'Repeat Detail'!$H$6:$H$1005,"Date span")),SUMIFS('Repeat Detail'!$O$6:$O$1005,'Repeat Detail'!$A$6:$A$1005,"Quality",'Repeat Detail'!$H$6:$H$1005,"Last date"),NA()),"",A191+1))</x:f>
      </x:c>
      <x:c r="B192" s="20" t="str">
        <x:f>IF($A192="","",SUMIFS('Repeat Detail'!$I$6:$I$1005,'Repeat Detail'!$A$6:$A$1005,"Daily",'Repeat Detail'!$B$6:$B$1005,$A192))</x:f>
      </x:c>
      <x:c r="C192" s="20" t="str">
        <x:f>IF($A192="","",SUMIFS('Repeat Detail'!$J$6:$J$1005,'Repeat Detail'!$A$6:$A$1005,"Daily",'Repeat Detail'!$B$6:$B$1005,$A192))</x:f>
      </x:c>
      <x:c r="D192" s="20" t="str">
        <x:f>IF($A192="","",SUMIFS('Repeat Detail'!$K$6:$K$1005,'Repeat Detail'!$A$6:$A$1005,"Daily",'Repeat Detail'!$B$6:$B$1005,$A192))</x:f>
      </x:c>
      <x:c r="E192" s="20" t="str">
        <x:f>IF($A192="","",SUMIFS('Repeat Detail'!$L$6:$L$1005,'Repeat Detail'!$A$6:$A$1005,"Daily",'Repeat Detail'!$B$6:$B$1005,$A192))</x:f>
      </x:c>
      <x:c r="F192" s="22" t="str">
        <x:f>IF(A192="","",IF(D192=0,"n.a.",E192/D192))</x:f>
      </x:c>
      <x:c r="G192" s="20" t="str">
        <x:f>IF($A192="","",SUMIFS('Repeat Detail'!$M$6:$M$1005,'Repeat Detail'!$A$6:$A$1005,"Daily",'Repeat Detail'!$B$6:$B$1005,$A192))</x:f>
      </x:c>
      <x:c r="H192" s="22" t="str">
        <x:f>IF(A192="","",IF(C192=0,"n.a.",G192/C192))</x:f>
      </x:c>
      <x:c r="I192" s="20" t="str">
        <x:f>IF($A192="","",SUMIFS('Repeat Detail'!$N$6:$N$1005,'Repeat Detail'!$A$6:$A$1005,"Daily",'Repeat Detail'!$B$6:$B$1005,$A192))</x:f>
      </x:c>
      <x:c r="J192" s="20" t="str">
        <x:f>IF(A192="","",B192-C192)</x:f>
      </x:c>
    </x:row>
    <x:row r="193">
      <x:c r="A193" s="12" t="str">
        <x:f>IF(A192="","",IF(A192+1&gt;IF(AND(COUNTIF('Repeat Detail'!$A$6:$A$1005,"Quality")=21,COUNTIF('Repeat Detail'!$A$6:$A$1005,"Menu")=12,COUNTIF('Repeat Detail'!$A$6:$A$1005,"Daily")=SUMIFS('Repeat Detail'!$O$6:$O$1005,'Repeat Detail'!$A$6:$A$1005,"Quality",'Repeat Detail'!$H$6:$H$1005,"Date span")),SUMIFS('Repeat Detail'!$O$6:$O$1005,'Repeat Detail'!$A$6:$A$1005,"Quality",'Repeat Detail'!$H$6:$H$1005,"Last date"),NA()),"",A192+1))</x:f>
      </x:c>
      <x:c r="B193" s="20" t="str">
        <x:f>IF($A193="","",SUMIFS('Repeat Detail'!$I$6:$I$1005,'Repeat Detail'!$A$6:$A$1005,"Daily",'Repeat Detail'!$B$6:$B$1005,$A193))</x:f>
      </x:c>
      <x:c r="C193" s="20" t="str">
        <x:f>IF($A193="","",SUMIFS('Repeat Detail'!$J$6:$J$1005,'Repeat Detail'!$A$6:$A$1005,"Daily",'Repeat Detail'!$B$6:$B$1005,$A193))</x:f>
      </x:c>
      <x:c r="D193" s="20" t="str">
        <x:f>IF($A193="","",SUMIFS('Repeat Detail'!$K$6:$K$1005,'Repeat Detail'!$A$6:$A$1005,"Daily",'Repeat Detail'!$B$6:$B$1005,$A193))</x:f>
      </x:c>
      <x:c r="E193" s="20" t="str">
        <x:f>IF($A193="","",SUMIFS('Repeat Detail'!$L$6:$L$1005,'Repeat Detail'!$A$6:$A$1005,"Daily",'Repeat Detail'!$B$6:$B$1005,$A193))</x:f>
      </x:c>
      <x:c r="F193" s="22" t="str">
        <x:f>IF(A193="","",IF(D193=0,"n.a.",E193/D193))</x:f>
      </x:c>
      <x:c r="G193" s="20" t="str">
        <x:f>IF($A193="","",SUMIFS('Repeat Detail'!$M$6:$M$1005,'Repeat Detail'!$A$6:$A$1005,"Daily",'Repeat Detail'!$B$6:$B$1005,$A193))</x:f>
      </x:c>
      <x:c r="H193" s="22" t="str">
        <x:f>IF(A193="","",IF(C193=0,"n.a.",G193/C193))</x:f>
      </x:c>
      <x:c r="I193" s="20" t="str">
        <x:f>IF($A193="","",SUMIFS('Repeat Detail'!$N$6:$N$1005,'Repeat Detail'!$A$6:$A$1005,"Daily",'Repeat Detail'!$B$6:$B$1005,$A193))</x:f>
      </x:c>
      <x:c r="J193" s="20" t="str">
        <x:f>IF(A193="","",B193-C193)</x:f>
      </x:c>
    </x:row>
    <x:row r="194">
      <x:c r="A194" s="12" t="str">
        <x:f>IF(A193="","",IF(A193+1&gt;IF(AND(COUNTIF('Repeat Detail'!$A$6:$A$1005,"Quality")=21,COUNTIF('Repeat Detail'!$A$6:$A$1005,"Menu")=12,COUNTIF('Repeat Detail'!$A$6:$A$1005,"Daily")=SUMIFS('Repeat Detail'!$O$6:$O$1005,'Repeat Detail'!$A$6:$A$1005,"Quality",'Repeat Detail'!$H$6:$H$1005,"Date span")),SUMIFS('Repeat Detail'!$O$6:$O$1005,'Repeat Detail'!$A$6:$A$1005,"Quality",'Repeat Detail'!$H$6:$H$1005,"Last date"),NA()),"",A193+1))</x:f>
      </x:c>
      <x:c r="B194" s="20" t="str">
        <x:f>IF($A194="","",SUMIFS('Repeat Detail'!$I$6:$I$1005,'Repeat Detail'!$A$6:$A$1005,"Daily",'Repeat Detail'!$B$6:$B$1005,$A194))</x:f>
      </x:c>
      <x:c r="C194" s="20" t="str">
        <x:f>IF($A194="","",SUMIFS('Repeat Detail'!$J$6:$J$1005,'Repeat Detail'!$A$6:$A$1005,"Daily",'Repeat Detail'!$B$6:$B$1005,$A194))</x:f>
      </x:c>
      <x:c r="D194" s="20" t="str">
        <x:f>IF($A194="","",SUMIFS('Repeat Detail'!$K$6:$K$1005,'Repeat Detail'!$A$6:$A$1005,"Daily",'Repeat Detail'!$B$6:$B$1005,$A194))</x:f>
      </x:c>
      <x:c r="E194" s="20" t="str">
        <x:f>IF($A194="","",SUMIFS('Repeat Detail'!$L$6:$L$1005,'Repeat Detail'!$A$6:$A$1005,"Daily",'Repeat Detail'!$B$6:$B$1005,$A194))</x:f>
      </x:c>
      <x:c r="F194" s="22" t="str">
        <x:f>IF(A194="","",IF(D194=0,"n.a.",E194/D194))</x:f>
      </x:c>
      <x:c r="G194" s="20" t="str">
        <x:f>IF($A194="","",SUMIFS('Repeat Detail'!$M$6:$M$1005,'Repeat Detail'!$A$6:$A$1005,"Daily",'Repeat Detail'!$B$6:$B$1005,$A194))</x:f>
      </x:c>
      <x:c r="H194" s="22" t="str">
        <x:f>IF(A194="","",IF(C194=0,"n.a.",G194/C194))</x:f>
      </x:c>
      <x:c r="I194" s="20" t="str">
        <x:f>IF($A194="","",SUMIFS('Repeat Detail'!$N$6:$N$1005,'Repeat Detail'!$A$6:$A$1005,"Daily",'Repeat Detail'!$B$6:$B$1005,$A194))</x:f>
      </x:c>
      <x:c r="J194" s="20" t="str">
        <x:f>IF(A194="","",B194-C194)</x:f>
      </x:c>
    </x:row>
    <x:row r="195">
      <x:c r="A195" s="12" t="str">
        <x:f>IF(A194="","",IF(A194+1&gt;IF(AND(COUNTIF('Repeat Detail'!$A$6:$A$1005,"Quality")=21,COUNTIF('Repeat Detail'!$A$6:$A$1005,"Menu")=12,COUNTIF('Repeat Detail'!$A$6:$A$1005,"Daily")=SUMIFS('Repeat Detail'!$O$6:$O$1005,'Repeat Detail'!$A$6:$A$1005,"Quality",'Repeat Detail'!$H$6:$H$1005,"Date span")),SUMIFS('Repeat Detail'!$O$6:$O$1005,'Repeat Detail'!$A$6:$A$1005,"Quality",'Repeat Detail'!$H$6:$H$1005,"Last date"),NA()),"",A194+1))</x:f>
      </x:c>
      <x:c r="B195" s="20" t="str">
        <x:f>IF($A195="","",SUMIFS('Repeat Detail'!$I$6:$I$1005,'Repeat Detail'!$A$6:$A$1005,"Daily",'Repeat Detail'!$B$6:$B$1005,$A195))</x:f>
      </x:c>
      <x:c r="C195" s="20" t="str">
        <x:f>IF($A195="","",SUMIFS('Repeat Detail'!$J$6:$J$1005,'Repeat Detail'!$A$6:$A$1005,"Daily",'Repeat Detail'!$B$6:$B$1005,$A195))</x:f>
      </x:c>
      <x:c r="D195" s="20" t="str">
        <x:f>IF($A195="","",SUMIFS('Repeat Detail'!$K$6:$K$1005,'Repeat Detail'!$A$6:$A$1005,"Daily",'Repeat Detail'!$B$6:$B$1005,$A195))</x:f>
      </x:c>
      <x:c r="E195" s="20" t="str">
        <x:f>IF($A195="","",SUMIFS('Repeat Detail'!$L$6:$L$1005,'Repeat Detail'!$A$6:$A$1005,"Daily",'Repeat Detail'!$B$6:$B$1005,$A195))</x:f>
      </x:c>
      <x:c r="F195" s="22" t="str">
        <x:f>IF(A195="","",IF(D195=0,"n.a.",E195/D195))</x:f>
      </x:c>
      <x:c r="G195" s="20" t="str">
        <x:f>IF($A195="","",SUMIFS('Repeat Detail'!$M$6:$M$1005,'Repeat Detail'!$A$6:$A$1005,"Daily",'Repeat Detail'!$B$6:$B$1005,$A195))</x:f>
      </x:c>
      <x:c r="H195" s="22" t="str">
        <x:f>IF(A195="","",IF(C195=0,"n.a.",G195/C195))</x:f>
      </x:c>
      <x:c r="I195" s="20" t="str">
        <x:f>IF($A195="","",SUMIFS('Repeat Detail'!$N$6:$N$1005,'Repeat Detail'!$A$6:$A$1005,"Daily",'Repeat Detail'!$B$6:$B$1005,$A195))</x:f>
      </x:c>
      <x:c r="J195" s="20" t="str">
        <x:f>IF(A195="","",B195-C195)</x:f>
      </x:c>
    </x:row>
    <x:row r="196">
      <x:c r="A196" s="12" t="str">
        <x:f>IF(A195="","",IF(A195+1&gt;IF(AND(COUNTIF('Repeat Detail'!$A$6:$A$1005,"Quality")=21,COUNTIF('Repeat Detail'!$A$6:$A$1005,"Menu")=12,COUNTIF('Repeat Detail'!$A$6:$A$1005,"Daily")=SUMIFS('Repeat Detail'!$O$6:$O$1005,'Repeat Detail'!$A$6:$A$1005,"Quality",'Repeat Detail'!$H$6:$H$1005,"Date span")),SUMIFS('Repeat Detail'!$O$6:$O$1005,'Repeat Detail'!$A$6:$A$1005,"Quality",'Repeat Detail'!$H$6:$H$1005,"Last date"),NA()),"",A195+1))</x:f>
      </x:c>
      <x:c r="B196" s="20" t="str">
        <x:f>IF($A196="","",SUMIFS('Repeat Detail'!$I$6:$I$1005,'Repeat Detail'!$A$6:$A$1005,"Daily",'Repeat Detail'!$B$6:$B$1005,$A196))</x:f>
      </x:c>
      <x:c r="C196" s="20" t="str">
        <x:f>IF($A196="","",SUMIFS('Repeat Detail'!$J$6:$J$1005,'Repeat Detail'!$A$6:$A$1005,"Daily",'Repeat Detail'!$B$6:$B$1005,$A196))</x:f>
      </x:c>
      <x:c r="D196" s="20" t="str">
        <x:f>IF($A196="","",SUMIFS('Repeat Detail'!$K$6:$K$1005,'Repeat Detail'!$A$6:$A$1005,"Daily",'Repeat Detail'!$B$6:$B$1005,$A196))</x:f>
      </x:c>
      <x:c r="E196" s="20" t="str">
        <x:f>IF($A196="","",SUMIFS('Repeat Detail'!$L$6:$L$1005,'Repeat Detail'!$A$6:$A$1005,"Daily",'Repeat Detail'!$B$6:$B$1005,$A196))</x:f>
      </x:c>
      <x:c r="F196" s="22" t="str">
        <x:f>IF(A196="","",IF(D196=0,"n.a.",E196/D196))</x:f>
      </x:c>
      <x:c r="G196" s="20" t="str">
        <x:f>IF($A196="","",SUMIFS('Repeat Detail'!$M$6:$M$1005,'Repeat Detail'!$A$6:$A$1005,"Daily",'Repeat Detail'!$B$6:$B$1005,$A196))</x:f>
      </x:c>
      <x:c r="H196" s="22" t="str">
        <x:f>IF(A196="","",IF(C196=0,"n.a.",G196/C196))</x:f>
      </x:c>
      <x:c r="I196" s="20" t="str">
        <x:f>IF($A196="","",SUMIFS('Repeat Detail'!$N$6:$N$1005,'Repeat Detail'!$A$6:$A$1005,"Daily",'Repeat Detail'!$B$6:$B$1005,$A196))</x:f>
      </x:c>
      <x:c r="J196" s="20" t="str">
        <x:f>IF(A196="","",B196-C196)</x:f>
      </x:c>
    </x:row>
    <x:row r="197">
      <x:c r="A197" s="12" t="str">
        <x:f>IF(A196="","",IF(A196+1&gt;IF(AND(COUNTIF('Repeat Detail'!$A$6:$A$1005,"Quality")=21,COUNTIF('Repeat Detail'!$A$6:$A$1005,"Menu")=12,COUNTIF('Repeat Detail'!$A$6:$A$1005,"Daily")=SUMIFS('Repeat Detail'!$O$6:$O$1005,'Repeat Detail'!$A$6:$A$1005,"Quality",'Repeat Detail'!$H$6:$H$1005,"Date span")),SUMIFS('Repeat Detail'!$O$6:$O$1005,'Repeat Detail'!$A$6:$A$1005,"Quality",'Repeat Detail'!$H$6:$H$1005,"Last date"),NA()),"",A196+1))</x:f>
      </x:c>
      <x:c r="B197" s="20" t="str">
        <x:f>IF($A197="","",SUMIFS('Repeat Detail'!$I$6:$I$1005,'Repeat Detail'!$A$6:$A$1005,"Daily",'Repeat Detail'!$B$6:$B$1005,$A197))</x:f>
      </x:c>
      <x:c r="C197" s="20" t="str">
        <x:f>IF($A197="","",SUMIFS('Repeat Detail'!$J$6:$J$1005,'Repeat Detail'!$A$6:$A$1005,"Daily",'Repeat Detail'!$B$6:$B$1005,$A197))</x:f>
      </x:c>
      <x:c r="D197" s="20" t="str">
        <x:f>IF($A197="","",SUMIFS('Repeat Detail'!$K$6:$K$1005,'Repeat Detail'!$A$6:$A$1005,"Daily",'Repeat Detail'!$B$6:$B$1005,$A197))</x:f>
      </x:c>
      <x:c r="E197" s="20" t="str">
        <x:f>IF($A197="","",SUMIFS('Repeat Detail'!$L$6:$L$1005,'Repeat Detail'!$A$6:$A$1005,"Daily",'Repeat Detail'!$B$6:$B$1005,$A197))</x:f>
      </x:c>
      <x:c r="F197" s="22" t="str">
        <x:f>IF(A197="","",IF(D197=0,"n.a.",E197/D197))</x:f>
      </x:c>
      <x:c r="G197" s="20" t="str">
        <x:f>IF($A197="","",SUMIFS('Repeat Detail'!$M$6:$M$1005,'Repeat Detail'!$A$6:$A$1005,"Daily",'Repeat Detail'!$B$6:$B$1005,$A197))</x:f>
      </x:c>
      <x:c r="H197" s="22" t="str">
        <x:f>IF(A197="","",IF(C197=0,"n.a.",G197/C197))</x:f>
      </x:c>
      <x:c r="I197" s="20" t="str">
        <x:f>IF($A197="","",SUMIFS('Repeat Detail'!$N$6:$N$1005,'Repeat Detail'!$A$6:$A$1005,"Daily",'Repeat Detail'!$B$6:$B$1005,$A197))</x:f>
      </x:c>
      <x:c r="J197" s="20" t="str">
        <x:f>IF(A197="","",B197-C197)</x:f>
      </x:c>
    </x:row>
    <x:row r="198">
      <x:c r="A198" s="12" t="str">
        <x:f>IF(A197="","",IF(A197+1&gt;IF(AND(COUNTIF('Repeat Detail'!$A$6:$A$1005,"Quality")=21,COUNTIF('Repeat Detail'!$A$6:$A$1005,"Menu")=12,COUNTIF('Repeat Detail'!$A$6:$A$1005,"Daily")=SUMIFS('Repeat Detail'!$O$6:$O$1005,'Repeat Detail'!$A$6:$A$1005,"Quality",'Repeat Detail'!$H$6:$H$1005,"Date span")),SUMIFS('Repeat Detail'!$O$6:$O$1005,'Repeat Detail'!$A$6:$A$1005,"Quality",'Repeat Detail'!$H$6:$H$1005,"Last date"),NA()),"",A197+1))</x:f>
      </x:c>
      <x:c r="B198" s="20" t="str">
        <x:f>IF($A198="","",SUMIFS('Repeat Detail'!$I$6:$I$1005,'Repeat Detail'!$A$6:$A$1005,"Daily",'Repeat Detail'!$B$6:$B$1005,$A198))</x:f>
      </x:c>
      <x:c r="C198" s="20" t="str">
        <x:f>IF($A198="","",SUMIFS('Repeat Detail'!$J$6:$J$1005,'Repeat Detail'!$A$6:$A$1005,"Daily",'Repeat Detail'!$B$6:$B$1005,$A198))</x:f>
      </x:c>
      <x:c r="D198" s="20" t="str">
        <x:f>IF($A198="","",SUMIFS('Repeat Detail'!$K$6:$K$1005,'Repeat Detail'!$A$6:$A$1005,"Daily",'Repeat Detail'!$B$6:$B$1005,$A198))</x:f>
      </x:c>
      <x:c r="E198" s="20" t="str">
        <x:f>IF($A198="","",SUMIFS('Repeat Detail'!$L$6:$L$1005,'Repeat Detail'!$A$6:$A$1005,"Daily",'Repeat Detail'!$B$6:$B$1005,$A198))</x:f>
      </x:c>
      <x:c r="F198" s="22" t="str">
        <x:f>IF(A198="","",IF(D198=0,"n.a.",E198/D198))</x:f>
      </x:c>
      <x:c r="G198" s="20" t="str">
        <x:f>IF($A198="","",SUMIFS('Repeat Detail'!$M$6:$M$1005,'Repeat Detail'!$A$6:$A$1005,"Daily",'Repeat Detail'!$B$6:$B$1005,$A198))</x:f>
      </x:c>
      <x:c r="H198" s="22" t="str">
        <x:f>IF(A198="","",IF(C198=0,"n.a.",G198/C198))</x:f>
      </x:c>
      <x:c r="I198" s="20" t="str">
        <x:f>IF($A198="","",SUMIFS('Repeat Detail'!$N$6:$N$1005,'Repeat Detail'!$A$6:$A$1005,"Daily",'Repeat Detail'!$B$6:$B$1005,$A198))</x:f>
      </x:c>
      <x:c r="J198" s="20" t="str">
        <x:f>IF(A198="","",B198-C198)</x:f>
      </x:c>
    </x:row>
    <x:row r="199">
      <x:c r="A199" s="12" t="str">
        <x:f>IF(A198="","",IF(A198+1&gt;IF(AND(COUNTIF('Repeat Detail'!$A$6:$A$1005,"Quality")=21,COUNTIF('Repeat Detail'!$A$6:$A$1005,"Menu")=12,COUNTIF('Repeat Detail'!$A$6:$A$1005,"Daily")=SUMIFS('Repeat Detail'!$O$6:$O$1005,'Repeat Detail'!$A$6:$A$1005,"Quality",'Repeat Detail'!$H$6:$H$1005,"Date span")),SUMIFS('Repeat Detail'!$O$6:$O$1005,'Repeat Detail'!$A$6:$A$1005,"Quality",'Repeat Detail'!$H$6:$H$1005,"Last date"),NA()),"",A198+1))</x:f>
      </x:c>
      <x:c r="B199" s="20" t="str">
        <x:f>IF($A199="","",SUMIFS('Repeat Detail'!$I$6:$I$1005,'Repeat Detail'!$A$6:$A$1005,"Daily",'Repeat Detail'!$B$6:$B$1005,$A199))</x:f>
      </x:c>
      <x:c r="C199" s="20" t="str">
        <x:f>IF($A199="","",SUMIFS('Repeat Detail'!$J$6:$J$1005,'Repeat Detail'!$A$6:$A$1005,"Daily",'Repeat Detail'!$B$6:$B$1005,$A199))</x:f>
      </x:c>
      <x:c r="D199" s="20" t="str">
        <x:f>IF($A199="","",SUMIFS('Repeat Detail'!$K$6:$K$1005,'Repeat Detail'!$A$6:$A$1005,"Daily",'Repeat Detail'!$B$6:$B$1005,$A199))</x:f>
      </x:c>
      <x:c r="E199" s="20" t="str">
        <x:f>IF($A199="","",SUMIFS('Repeat Detail'!$L$6:$L$1005,'Repeat Detail'!$A$6:$A$1005,"Daily",'Repeat Detail'!$B$6:$B$1005,$A199))</x:f>
      </x:c>
      <x:c r="F199" s="22" t="str">
        <x:f>IF(A199="","",IF(D199=0,"n.a.",E199/D199))</x:f>
      </x:c>
      <x:c r="G199" s="20" t="str">
        <x:f>IF($A199="","",SUMIFS('Repeat Detail'!$M$6:$M$1005,'Repeat Detail'!$A$6:$A$1005,"Daily",'Repeat Detail'!$B$6:$B$1005,$A199))</x:f>
      </x:c>
      <x:c r="H199" s="22" t="str">
        <x:f>IF(A199="","",IF(C199=0,"n.a.",G199/C199))</x:f>
      </x:c>
      <x:c r="I199" s="20" t="str">
        <x:f>IF($A199="","",SUMIFS('Repeat Detail'!$N$6:$N$1005,'Repeat Detail'!$A$6:$A$1005,"Daily",'Repeat Detail'!$B$6:$B$1005,$A199))</x:f>
      </x:c>
      <x:c r="J199" s="20" t="str">
        <x:f>IF(A199="","",B199-C199)</x:f>
      </x:c>
    </x:row>
    <x:row r="200">
      <x:c r="A200" s="12" t="str">
        <x:f>IF(A199="","",IF(A199+1&gt;IF(AND(COUNTIF('Repeat Detail'!$A$6:$A$1005,"Quality")=21,COUNTIF('Repeat Detail'!$A$6:$A$1005,"Menu")=12,COUNTIF('Repeat Detail'!$A$6:$A$1005,"Daily")=SUMIFS('Repeat Detail'!$O$6:$O$1005,'Repeat Detail'!$A$6:$A$1005,"Quality",'Repeat Detail'!$H$6:$H$1005,"Date span")),SUMIFS('Repeat Detail'!$O$6:$O$1005,'Repeat Detail'!$A$6:$A$1005,"Quality",'Repeat Detail'!$H$6:$H$1005,"Last date"),NA()),"",A199+1))</x:f>
      </x:c>
      <x:c r="B200" s="20" t="str">
        <x:f>IF($A200="","",SUMIFS('Repeat Detail'!$I$6:$I$1005,'Repeat Detail'!$A$6:$A$1005,"Daily",'Repeat Detail'!$B$6:$B$1005,$A200))</x:f>
      </x:c>
      <x:c r="C200" s="20" t="str">
        <x:f>IF($A200="","",SUMIFS('Repeat Detail'!$J$6:$J$1005,'Repeat Detail'!$A$6:$A$1005,"Daily",'Repeat Detail'!$B$6:$B$1005,$A200))</x:f>
      </x:c>
      <x:c r="D200" s="20" t="str">
        <x:f>IF($A200="","",SUMIFS('Repeat Detail'!$K$6:$K$1005,'Repeat Detail'!$A$6:$A$1005,"Daily",'Repeat Detail'!$B$6:$B$1005,$A200))</x:f>
      </x:c>
      <x:c r="E200" s="20" t="str">
        <x:f>IF($A200="","",SUMIFS('Repeat Detail'!$L$6:$L$1005,'Repeat Detail'!$A$6:$A$1005,"Daily",'Repeat Detail'!$B$6:$B$1005,$A200))</x:f>
      </x:c>
      <x:c r="F200" s="22" t="str">
        <x:f>IF(A200="","",IF(D200=0,"n.a.",E200/D200))</x:f>
      </x:c>
      <x:c r="G200" s="20" t="str">
        <x:f>IF($A200="","",SUMIFS('Repeat Detail'!$M$6:$M$1005,'Repeat Detail'!$A$6:$A$1005,"Daily",'Repeat Detail'!$B$6:$B$1005,$A200))</x:f>
      </x:c>
      <x:c r="H200" s="22" t="str">
        <x:f>IF(A200="","",IF(C200=0,"n.a.",G200/C200))</x:f>
      </x:c>
      <x:c r="I200" s="20" t="str">
        <x:f>IF($A200="","",SUMIFS('Repeat Detail'!$N$6:$N$1005,'Repeat Detail'!$A$6:$A$1005,"Daily",'Repeat Detail'!$B$6:$B$1005,$A200))</x:f>
      </x:c>
      <x:c r="J200" s="20" t="str">
        <x:f>IF(A200="","",B200-C200)</x:f>
      </x:c>
    </x:row>
    <x:row r="201">
      <x:c r="A201" s="12" t="str">
        <x:f>IF(A200="","",IF(A200+1&gt;IF(AND(COUNTIF('Repeat Detail'!$A$6:$A$1005,"Quality")=21,COUNTIF('Repeat Detail'!$A$6:$A$1005,"Menu")=12,COUNTIF('Repeat Detail'!$A$6:$A$1005,"Daily")=SUMIFS('Repeat Detail'!$O$6:$O$1005,'Repeat Detail'!$A$6:$A$1005,"Quality",'Repeat Detail'!$H$6:$H$1005,"Date span")),SUMIFS('Repeat Detail'!$O$6:$O$1005,'Repeat Detail'!$A$6:$A$1005,"Quality",'Repeat Detail'!$H$6:$H$1005,"Last date"),NA()),"",A200+1))</x:f>
      </x:c>
      <x:c r="B201" s="20" t="str">
        <x:f>IF($A201="","",SUMIFS('Repeat Detail'!$I$6:$I$1005,'Repeat Detail'!$A$6:$A$1005,"Daily",'Repeat Detail'!$B$6:$B$1005,$A201))</x:f>
      </x:c>
      <x:c r="C201" s="20" t="str">
        <x:f>IF($A201="","",SUMIFS('Repeat Detail'!$J$6:$J$1005,'Repeat Detail'!$A$6:$A$1005,"Daily",'Repeat Detail'!$B$6:$B$1005,$A201))</x:f>
      </x:c>
      <x:c r="D201" s="20" t="str">
        <x:f>IF($A201="","",SUMIFS('Repeat Detail'!$K$6:$K$1005,'Repeat Detail'!$A$6:$A$1005,"Daily",'Repeat Detail'!$B$6:$B$1005,$A201))</x:f>
      </x:c>
      <x:c r="E201" s="20" t="str">
        <x:f>IF($A201="","",SUMIFS('Repeat Detail'!$L$6:$L$1005,'Repeat Detail'!$A$6:$A$1005,"Daily",'Repeat Detail'!$B$6:$B$1005,$A201))</x:f>
      </x:c>
      <x:c r="F201" s="22" t="str">
        <x:f>IF(A201="","",IF(D201=0,"n.a.",E201/D201))</x:f>
      </x:c>
      <x:c r="G201" s="20" t="str">
        <x:f>IF($A201="","",SUMIFS('Repeat Detail'!$M$6:$M$1005,'Repeat Detail'!$A$6:$A$1005,"Daily",'Repeat Detail'!$B$6:$B$1005,$A201))</x:f>
      </x:c>
      <x:c r="H201" s="22" t="str">
        <x:f>IF(A201="","",IF(C201=0,"n.a.",G201/C201))</x:f>
      </x:c>
      <x:c r="I201" s="20" t="str">
        <x:f>IF($A201="","",SUMIFS('Repeat Detail'!$N$6:$N$1005,'Repeat Detail'!$A$6:$A$1005,"Daily",'Repeat Detail'!$B$6:$B$1005,$A201))</x:f>
      </x:c>
      <x:c r="J201" s="20" t="str">
        <x:f>IF(A201="","",B201-C201)</x:f>
      </x:c>
    </x:row>
    <x:row r="202">
      <x:c r="A202" s="12" t="str">
        <x:f>IF(A201="","",IF(A201+1&gt;IF(AND(COUNTIF('Repeat Detail'!$A$6:$A$1005,"Quality")=21,COUNTIF('Repeat Detail'!$A$6:$A$1005,"Menu")=12,COUNTIF('Repeat Detail'!$A$6:$A$1005,"Daily")=SUMIFS('Repeat Detail'!$O$6:$O$1005,'Repeat Detail'!$A$6:$A$1005,"Quality",'Repeat Detail'!$H$6:$H$1005,"Date span")),SUMIFS('Repeat Detail'!$O$6:$O$1005,'Repeat Detail'!$A$6:$A$1005,"Quality",'Repeat Detail'!$H$6:$H$1005,"Last date"),NA()),"",A201+1))</x:f>
      </x:c>
      <x:c r="B202" s="20" t="str">
        <x:f>IF($A202="","",SUMIFS('Repeat Detail'!$I$6:$I$1005,'Repeat Detail'!$A$6:$A$1005,"Daily",'Repeat Detail'!$B$6:$B$1005,$A202))</x:f>
      </x:c>
      <x:c r="C202" s="20" t="str">
        <x:f>IF($A202="","",SUMIFS('Repeat Detail'!$J$6:$J$1005,'Repeat Detail'!$A$6:$A$1005,"Daily",'Repeat Detail'!$B$6:$B$1005,$A202))</x:f>
      </x:c>
      <x:c r="D202" s="20" t="str">
        <x:f>IF($A202="","",SUMIFS('Repeat Detail'!$K$6:$K$1005,'Repeat Detail'!$A$6:$A$1005,"Daily",'Repeat Detail'!$B$6:$B$1005,$A202))</x:f>
      </x:c>
      <x:c r="E202" s="20" t="str">
        <x:f>IF($A202="","",SUMIFS('Repeat Detail'!$L$6:$L$1005,'Repeat Detail'!$A$6:$A$1005,"Daily",'Repeat Detail'!$B$6:$B$1005,$A202))</x:f>
      </x:c>
      <x:c r="F202" s="22" t="str">
        <x:f>IF(A202="","",IF(D202=0,"n.a.",E202/D202))</x:f>
      </x:c>
      <x:c r="G202" s="20" t="str">
        <x:f>IF($A202="","",SUMIFS('Repeat Detail'!$M$6:$M$1005,'Repeat Detail'!$A$6:$A$1005,"Daily",'Repeat Detail'!$B$6:$B$1005,$A202))</x:f>
      </x:c>
      <x:c r="H202" s="22" t="str">
        <x:f>IF(A202="","",IF(C202=0,"n.a.",G202/C202))</x:f>
      </x:c>
      <x:c r="I202" s="20" t="str">
        <x:f>IF($A202="","",SUMIFS('Repeat Detail'!$N$6:$N$1005,'Repeat Detail'!$A$6:$A$1005,"Daily",'Repeat Detail'!$B$6:$B$1005,$A202))</x:f>
      </x:c>
      <x:c r="J202" s="20" t="str">
        <x:f>IF(A202="","",B202-C202)</x:f>
      </x:c>
    </x:row>
    <x:row r="203">
      <x:c r="A203" s="12" t="str">
        <x:f>IF(A202="","",IF(A202+1&gt;IF(AND(COUNTIF('Repeat Detail'!$A$6:$A$1005,"Quality")=21,COUNTIF('Repeat Detail'!$A$6:$A$1005,"Menu")=12,COUNTIF('Repeat Detail'!$A$6:$A$1005,"Daily")=SUMIFS('Repeat Detail'!$O$6:$O$1005,'Repeat Detail'!$A$6:$A$1005,"Quality",'Repeat Detail'!$H$6:$H$1005,"Date span")),SUMIFS('Repeat Detail'!$O$6:$O$1005,'Repeat Detail'!$A$6:$A$1005,"Quality",'Repeat Detail'!$H$6:$H$1005,"Last date"),NA()),"",A202+1))</x:f>
      </x:c>
      <x:c r="B203" s="20" t="str">
        <x:f>IF($A203="","",SUMIFS('Repeat Detail'!$I$6:$I$1005,'Repeat Detail'!$A$6:$A$1005,"Daily",'Repeat Detail'!$B$6:$B$1005,$A203))</x:f>
      </x:c>
      <x:c r="C203" s="20" t="str">
        <x:f>IF($A203="","",SUMIFS('Repeat Detail'!$J$6:$J$1005,'Repeat Detail'!$A$6:$A$1005,"Daily",'Repeat Detail'!$B$6:$B$1005,$A203))</x:f>
      </x:c>
      <x:c r="D203" s="20" t="str">
        <x:f>IF($A203="","",SUMIFS('Repeat Detail'!$K$6:$K$1005,'Repeat Detail'!$A$6:$A$1005,"Daily",'Repeat Detail'!$B$6:$B$1005,$A203))</x:f>
      </x:c>
      <x:c r="E203" s="20" t="str">
        <x:f>IF($A203="","",SUMIFS('Repeat Detail'!$L$6:$L$1005,'Repeat Detail'!$A$6:$A$1005,"Daily",'Repeat Detail'!$B$6:$B$1005,$A203))</x:f>
      </x:c>
      <x:c r="F203" s="22" t="str">
        <x:f>IF(A203="","",IF(D203=0,"n.a.",E203/D203))</x:f>
      </x:c>
      <x:c r="G203" s="20" t="str">
        <x:f>IF($A203="","",SUMIFS('Repeat Detail'!$M$6:$M$1005,'Repeat Detail'!$A$6:$A$1005,"Daily",'Repeat Detail'!$B$6:$B$1005,$A203))</x:f>
      </x:c>
      <x:c r="H203" s="22" t="str">
        <x:f>IF(A203="","",IF(C203=0,"n.a.",G203/C203))</x:f>
      </x:c>
      <x:c r="I203" s="20" t="str">
        <x:f>IF($A203="","",SUMIFS('Repeat Detail'!$N$6:$N$1005,'Repeat Detail'!$A$6:$A$1005,"Daily",'Repeat Detail'!$B$6:$B$1005,$A203))</x:f>
      </x:c>
      <x:c r="J203" s="20" t="str">
        <x:f>IF(A203="","",B203-C203)</x:f>
      </x:c>
    </x:row>
    <x:row r="204">
      <x:c r="A204" s="12" t="str">
        <x:f>IF(A203="","",IF(A203+1&gt;IF(AND(COUNTIF('Repeat Detail'!$A$6:$A$1005,"Quality")=21,COUNTIF('Repeat Detail'!$A$6:$A$1005,"Menu")=12,COUNTIF('Repeat Detail'!$A$6:$A$1005,"Daily")=SUMIFS('Repeat Detail'!$O$6:$O$1005,'Repeat Detail'!$A$6:$A$1005,"Quality",'Repeat Detail'!$H$6:$H$1005,"Date span")),SUMIFS('Repeat Detail'!$O$6:$O$1005,'Repeat Detail'!$A$6:$A$1005,"Quality",'Repeat Detail'!$H$6:$H$1005,"Last date"),NA()),"",A203+1))</x:f>
      </x:c>
      <x:c r="B204" s="20" t="str">
        <x:f>IF($A204="","",SUMIFS('Repeat Detail'!$I$6:$I$1005,'Repeat Detail'!$A$6:$A$1005,"Daily",'Repeat Detail'!$B$6:$B$1005,$A204))</x:f>
      </x:c>
      <x:c r="C204" s="20" t="str">
        <x:f>IF($A204="","",SUMIFS('Repeat Detail'!$J$6:$J$1005,'Repeat Detail'!$A$6:$A$1005,"Daily",'Repeat Detail'!$B$6:$B$1005,$A204))</x:f>
      </x:c>
      <x:c r="D204" s="20" t="str">
        <x:f>IF($A204="","",SUMIFS('Repeat Detail'!$K$6:$K$1005,'Repeat Detail'!$A$6:$A$1005,"Daily",'Repeat Detail'!$B$6:$B$1005,$A204))</x:f>
      </x:c>
      <x:c r="E204" s="20" t="str">
        <x:f>IF($A204="","",SUMIFS('Repeat Detail'!$L$6:$L$1005,'Repeat Detail'!$A$6:$A$1005,"Daily",'Repeat Detail'!$B$6:$B$1005,$A204))</x:f>
      </x:c>
      <x:c r="F204" s="22" t="str">
        <x:f>IF(A204="","",IF(D204=0,"n.a.",E204/D204))</x:f>
      </x:c>
      <x:c r="G204" s="20" t="str">
        <x:f>IF($A204="","",SUMIFS('Repeat Detail'!$M$6:$M$1005,'Repeat Detail'!$A$6:$A$1005,"Daily",'Repeat Detail'!$B$6:$B$1005,$A204))</x:f>
      </x:c>
      <x:c r="H204" s="22" t="str">
        <x:f>IF(A204="","",IF(C204=0,"n.a.",G204/C204))</x:f>
      </x:c>
      <x:c r="I204" s="20" t="str">
        <x:f>IF($A204="","",SUMIFS('Repeat Detail'!$N$6:$N$1005,'Repeat Detail'!$A$6:$A$1005,"Daily",'Repeat Detail'!$B$6:$B$1005,$A204))</x:f>
      </x:c>
      <x:c r="J204" s="20" t="str">
        <x:f>IF(A204="","",B204-C204)</x:f>
      </x:c>
    </x:row>
    <x:row r="205">
      <x:c r="A205" s="12" t="str">
        <x:f>IF(A204="","",IF(A204+1&gt;IF(AND(COUNTIF('Repeat Detail'!$A$6:$A$1005,"Quality")=21,COUNTIF('Repeat Detail'!$A$6:$A$1005,"Menu")=12,COUNTIF('Repeat Detail'!$A$6:$A$1005,"Daily")=SUMIFS('Repeat Detail'!$O$6:$O$1005,'Repeat Detail'!$A$6:$A$1005,"Quality",'Repeat Detail'!$H$6:$H$1005,"Date span")),SUMIFS('Repeat Detail'!$O$6:$O$1005,'Repeat Detail'!$A$6:$A$1005,"Quality",'Repeat Detail'!$H$6:$H$1005,"Last date"),NA()),"",A204+1))</x:f>
      </x:c>
      <x:c r="B205" s="20" t="str">
        <x:f>IF($A205="","",SUMIFS('Repeat Detail'!$I$6:$I$1005,'Repeat Detail'!$A$6:$A$1005,"Daily",'Repeat Detail'!$B$6:$B$1005,$A205))</x:f>
      </x:c>
      <x:c r="C205" s="20" t="str">
        <x:f>IF($A205="","",SUMIFS('Repeat Detail'!$J$6:$J$1005,'Repeat Detail'!$A$6:$A$1005,"Daily",'Repeat Detail'!$B$6:$B$1005,$A205))</x:f>
      </x:c>
      <x:c r="D205" s="20" t="str">
        <x:f>IF($A205="","",SUMIFS('Repeat Detail'!$K$6:$K$1005,'Repeat Detail'!$A$6:$A$1005,"Daily",'Repeat Detail'!$B$6:$B$1005,$A205))</x:f>
      </x:c>
      <x:c r="E205" s="20" t="str">
        <x:f>IF($A205="","",SUMIFS('Repeat Detail'!$L$6:$L$1005,'Repeat Detail'!$A$6:$A$1005,"Daily",'Repeat Detail'!$B$6:$B$1005,$A205))</x:f>
      </x:c>
      <x:c r="F205" s="22" t="str">
        <x:f>IF(A205="","",IF(D205=0,"n.a.",E205/D205))</x:f>
      </x:c>
      <x:c r="G205" s="20" t="str">
        <x:f>IF($A205="","",SUMIFS('Repeat Detail'!$M$6:$M$1005,'Repeat Detail'!$A$6:$A$1005,"Daily",'Repeat Detail'!$B$6:$B$1005,$A205))</x:f>
      </x:c>
      <x:c r="H205" s="22" t="str">
        <x:f>IF(A205="","",IF(C205=0,"n.a.",G205/C205))</x:f>
      </x:c>
      <x:c r="I205" s="20" t="str">
        <x:f>IF($A205="","",SUMIFS('Repeat Detail'!$N$6:$N$1005,'Repeat Detail'!$A$6:$A$1005,"Daily",'Repeat Detail'!$B$6:$B$1005,$A205))</x:f>
      </x:c>
      <x:c r="J205" s="20" t="str">
        <x:f>IF(A205="","",B205-C205)</x:f>
      </x:c>
    </x:row>
    <x:row r="206">
      <x:c r="A206" s="12" t="str">
        <x:f>IF(A205="","",IF(A205+1&gt;IF(AND(COUNTIF('Repeat Detail'!$A$6:$A$1005,"Quality")=21,COUNTIF('Repeat Detail'!$A$6:$A$1005,"Menu")=12,COUNTIF('Repeat Detail'!$A$6:$A$1005,"Daily")=SUMIFS('Repeat Detail'!$O$6:$O$1005,'Repeat Detail'!$A$6:$A$1005,"Quality",'Repeat Detail'!$H$6:$H$1005,"Date span")),SUMIFS('Repeat Detail'!$O$6:$O$1005,'Repeat Detail'!$A$6:$A$1005,"Quality",'Repeat Detail'!$H$6:$H$1005,"Last date"),NA()),"",A205+1))</x:f>
      </x:c>
      <x:c r="B206" s="20" t="str">
        <x:f>IF($A206="","",SUMIFS('Repeat Detail'!$I$6:$I$1005,'Repeat Detail'!$A$6:$A$1005,"Daily",'Repeat Detail'!$B$6:$B$1005,$A206))</x:f>
      </x:c>
      <x:c r="C206" s="20" t="str">
        <x:f>IF($A206="","",SUMIFS('Repeat Detail'!$J$6:$J$1005,'Repeat Detail'!$A$6:$A$1005,"Daily",'Repeat Detail'!$B$6:$B$1005,$A206))</x:f>
      </x:c>
      <x:c r="D206" s="20" t="str">
        <x:f>IF($A206="","",SUMIFS('Repeat Detail'!$K$6:$K$1005,'Repeat Detail'!$A$6:$A$1005,"Daily",'Repeat Detail'!$B$6:$B$1005,$A206))</x:f>
      </x:c>
      <x:c r="E206" s="20" t="str">
        <x:f>IF($A206="","",SUMIFS('Repeat Detail'!$L$6:$L$1005,'Repeat Detail'!$A$6:$A$1005,"Daily",'Repeat Detail'!$B$6:$B$1005,$A206))</x:f>
      </x:c>
      <x:c r="F206" s="22" t="str">
        <x:f>IF(A206="","",IF(D206=0,"n.a.",E206/D206))</x:f>
      </x:c>
      <x:c r="G206" s="20" t="str">
        <x:f>IF($A206="","",SUMIFS('Repeat Detail'!$M$6:$M$1005,'Repeat Detail'!$A$6:$A$1005,"Daily",'Repeat Detail'!$B$6:$B$1005,$A206))</x:f>
      </x:c>
      <x:c r="H206" s="22" t="str">
        <x:f>IF(A206="","",IF(C206=0,"n.a.",G206/C206))</x:f>
      </x:c>
      <x:c r="I206" s="20" t="str">
        <x:f>IF($A206="","",SUMIFS('Repeat Detail'!$N$6:$N$1005,'Repeat Detail'!$A$6:$A$1005,"Daily",'Repeat Detail'!$B$6:$B$1005,$A206))</x:f>
      </x:c>
      <x:c r="J206" s="20" t="str">
        <x:f>IF(A206="","",B206-C206)</x:f>
      </x:c>
    </x:row>
    <x:row r="207">
      <x:c r="A207" s="12" t="str">
        <x:f>IF(A206="","",IF(A206+1&gt;IF(AND(COUNTIF('Repeat Detail'!$A$6:$A$1005,"Quality")=21,COUNTIF('Repeat Detail'!$A$6:$A$1005,"Menu")=12,COUNTIF('Repeat Detail'!$A$6:$A$1005,"Daily")=SUMIFS('Repeat Detail'!$O$6:$O$1005,'Repeat Detail'!$A$6:$A$1005,"Quality",'Repeat Detail'!$H$6:$H$1005,"Date span")),SUMIFS('Repeat Detail'!$O$6:$O$1005,'Repeat Detail'!$A$6:$A$1005,"Quality",'Repeat Detail'!$H$6:$H$1005,"Last date"),NA()),"",A206+1))</x:f>
      </x:c>
      <x:c r="B207" s="20" t="str">
        <x:f>IF($A207="","",SUMIFS('Repeat Detail'!$I$6:$I$1005,'Repeat Detail'!$A$6:$A$1005,"Daily",'Repeat Detail'!$B$6:$B$1005,$A207))</x:f>
      </x:c>
      <x:c r="C207" s="20" t="str">
        <x:f>IF($A207="","",SUMIFS('Repeat Detail'!$J$6:$J$1005,'Repeat Detail'!$A$6:$A$1005,"Daily",'Repeat Detail'!$B$6:$B$1005,$A207))</x:f>
      </x:c>
      <x:c r="D207" s="20" t="str">
        <x:f>IF($A207="","",SUMIFS('Repeat Detail'!$K$6:$K$1005,'Repeat Detail'!$A$6:$A$1005,"Daily",'Repeat Detail'!$B$6:$B$1005,$A207))</x:f>
      </x:c>
      <x:c r="E207" s="20" t="str">
        <x:f>IF($A207="","",SUMIFS('Repeat Detail'!$L$6:$L$1005,'Repeat Detail'!$A$6:$A$1005,"Daily",'Repeat Detail'!$B$6:$B$1005,$A207))</x:f>
      </x:c>
      <x:c r="F207" s="22" t="str">
        <x:f>IF(A207="","",IF(D207=0,"n.a.",E207/D207))</x:f>
      </x:c>
      <x:c r="G207" s="20" t="str">
        <x:f>IF($A207="","",SUMIFS('Repeat Detail'!$M$6:$M$1005,'Repeat Detail'!$A$6:$A$1005,"Daily",'Repeat Detail'!$B$6:$B$1005,$A207))</x:f>
      </x:c>
      <x:c r="H207" s="22" t="str">
        <x:f>IF(A207="","",IF(C207=0,"n.a.",G207/C207))</x:f>
      </x:c>
      <x:c r="I207" s="20" t="str">
        <x:f>IF($A207="","",SUMIFS('Repeat Detail'!$N$6:$N$1005,'Repeat Detail'!$A$6:$A$1005,"Daily",'Repeat Detail'!$B$6:$B$1005,$A207))</x:f>
      </x:c>
      <x:c r="J207" s="20" t="str">
        <x:f>IF(A207="","",B207-C207)</x:f>
      </x:c>
    </x:row>
    <x:row r="208">
      <x:c r="A208" s="12" t="str">
        <x:f>IF(A207="","",IF(A207+1&gt;IF(AND(COUNTIF('Repeat Detail'!$A$6:$A$1005,"Quality")=21,COUNTIF('Repeat Detail'!$A$6:$A$1005,"Menu")=12,COUNTIF('Repeat Detail'!$A$6:$A$1005,"Daily")=SUMIFS('Repeat Detail'!$O$6:$O$1005,'Repeat Detail'!$A$6:$A$1005,"Quality",'Repeat Detail'!$H$6:$H$1005,"Date span")),SUMIFS('Repeat Detail'!$O$6:$O$1005,'Repeat Detail'!$A$6:$A$1005,"Quality",'Repeat Detail'!$H$6:$H$1005,"Last date"),NA()),"",A207+1))</x:f>
      </x:c>
      <x:c r="B208" s="20" t="str">
        <x:f>IF($A208="","",SUMIFS('Repeat Detail'!$I$6:$I$1005,'Repeat Detail'!$A$6:$A$1005,"Daily",'Repeat Detail'!$B$6:$B$1005,$A208))</x:f>
      </x:c>
      <x:c r="C208" s="20" t="str">
        <x:f>IF($A208="","",SUMIFS('Repeat Detail'!$J$6:$J$1005,'Repeat Detail'!$A$6:$A$1005,"Daily",'Repeat Detail'!$B$6:$B$1005,$A208))</x:f>
      </x:c>
      <x:c r="D208" s="20" t="str">
        <x:f>IF($A208="","",SUMIFS('Repeat Detail'!$K$6:$K$1005,'Repeat Detail'!$A$6:$A$1005,"Daily",'Repeat Detail'!$B$6:$B$1005,$A208))</x:f>
      </x:c>
      <x:c r="E208" s="20" t="str">
        <x:f>IF($A208="","",SUMIFS('Repeat Detail'!$L$6:$L$1005,'Repeat Detail'!$A$6:$A$1005,"Daily",'Repeat Detail'!$B$6:$B$1005,$A208))</x:f>
      </x:c>
      <x:c r="F208" s="22" t="str">
        <x:f>IF(A208="","",IF(D208=0,"n.a.",E208/D208))</x:f>
      </x:c>
      <x:c r="G208" s="20" t="str">
        <x:f>IF($A208="","",SUMIFS('Repeat Detail'!$M$6:$M$1005,'Repeat Detail'!$A$6:$A$1005,"Daily",'Repeat Detail'!$B$6:$B$1005,$A208))</x:f>
      </x:c>
      <x:c r="H208" s="22" t="str">
        <x:f>IF(A208="","",IF(C208=0,"n.a.",G208/C208))</x:f>
      </x:c>
      <x:c r="I208" s="20" t="str">
        <x:f>IF($A208="","",SUMIFS('Repeat Detail'!$N$6:$N$1005,'Repeat Detail'!$A$6:$A$1005,"Daily",'Repeat Detail'!$B$6:$B$1005,$A208))</x:f>
      </x:c>
      <x:c r="J208" s="20" t="str">
        <x:f>IF(A208="","",B208-C208)</x:f>
      </x:c>
    </x:row>
    <x:row r="209">
      <x:c r="A209" s="12" t="str">
        <x:f>IF(A208="","",IF(A208+1&gt;IF(AND(COUNTIF('Repeat Detail'!$A$6:$A$1005,"Quality")=21,COUNTIF('Repeat Detail'!$A$6:$A$1005,"Menu")=12,COUNTIF('Repeat Detail'!$A$6:$A$1005,"Daily")=SUMIFS('Repeat Detail'!$O$6:$O$1005,'Repeat Detail'!$A$6:$A$1005,"Quality",'Repeat Detail'!$H$6:$H$1005,"Date span")),SUMIFS('Repeat Detail'!$O$6:$O$1005,'Repeat Detail'!$A$6:$A$1005,"Quality",'Repeat Detail'!$H$6:$H$1005,"Last date"),NA()),"",A208+1))</x:f>
      </x:c>
      <x:c r="B209" s="20" t="str">
        <x:f>IF($A209="","",SUMIFS('Repeat Detail'!$I$6:$I$1005,'Repeat Detail'!$A$6:$A$1005,"Daily",'Repeat Detail'!$B$6:$B$1005,$A209))</x:f>
      </x:c>
      <x:c r="C209" s="20" t="str">
        <x:f>IF($A209="","",SUMIFS('Repeat Detail'!$J$6:$J$1005,'Repeat Detail'!$A$6:$A$1005,"Daily",'Repeat Detail'!$B$6:$B$1005,$A209))</x:f>
      </x:c>
      <x:c r="D209" s="20" t="str">
        <x:f>IF($A209="","",SUMIFS('Repeat Detail'!$K$6:$K$1005,'Repeat Detail'!$A$6:$A$1005,"Daily",'Repeat Detail'!$B$6:$B$1005,$A209))</x:f>
      </x:c>
      <x:c r="E209" s="20" t="str">
        <x:f>IF($A209="","",SUMIFS('Repeat Detail'!$L$6:$L$1005,'Repeat Detail'!$A$6:$A$1005,"Daily",'Repeat Detail'!$B$6:$B$1005,$A209))</x:f>
      </x:c>
      <x:c r="F209" s="22" t="str">
        <x:f>IF(A209="","",IF(D209=0,"n.a.",E209/D209))</x:f>
      </x:c>
      <x:c r="G209" s="20" t="str">
        <x:f>IF($A209="","",SUMIFS('Repeat Detail'!$M$6:$M$1005,'Repeat Detail'!$A$6:$A$1005,"Daily",'Repeat Detail'!$B$6:$B$1005,$A209))</x:f>
      </x:c>
      <x:c r="H209" s="22" t="str">
        <x:f>IF(A209="","",IF(C209=0,"n.a.",G209/C209))</x:f>
      </x:c>
      <x:c r="I209" s="20" t="str">
        <x:f>IF($A209="","",SUMIFS('Repeat Detail'!$N$6:$N$1005,'Repeat Detail'!$A$6:$A$1005,"Daily",'Repeat Detail'!$B$6:$B$1005,$A209))</x:f>
      </x:c>
      <x:c r="J209" s="20" t="str">
        <x:f>IF(A209="","",B209-C209)</x:f>
      </x:c>
    </x:row>
    <x:row r="210">
      <x:c r="A210" s="12" t="str">
        <x:f>IF(A209="","",IF(A209+1&gt;IF(AND(COUNTIF('Repeat Detail'!$A$6:$A$1005,"Quality")=21,COUNTIF('Repeat Detail'!$A$6:$A$1005,"Menu")=12,COUNTIF('Repeat Detail'!$A$6:$A$1005,"Daily")=SUMIFS('Repeat Detail'!$O$6:$O$1005,'Repeat Detail'!$A$6:$A$1005,"Quality",'Repeat Detail'!$H$6:$H$1005,"Date span")),SUMIFS('Repeat Detail'!$O$6:$O$1005,'Repeat Detail'!$A$6:$A$1005,"Quality",'Repeat Detail'!$H$6:$H$1005,"Last date"),NA()),"",A209+1))</x:f>
      </x:c>
      <x:c r="B210" s="20" t="str">
        <x:f>IF($A210="","",SUMIFS('Repeat Detail'!$I$6:$I$1005,'Repeat Detail'!$A$6:$A$1005,"Daily",'Repeat Detail'!$B$6:$B$1005,$A210))</x:f>
      </x:c>
      <x:c r="C210" s="20" t="str">
        <x:f>IF($A210="","",SUMIFS('Repeat Detail'!$J$6:$J$1005,'Repeat Detail'!$A$6:$A$1005,"Daily",'Repeat Detail'!$B$6:$B$1005,$A210))</x:f>
      </x:c>
      <x:c r="D210" s="20" t="str">
        <x:f>IF($A210="","",SUMIFS('Repeat Detail'!$K$6:$K$1005,'Repeat Detail'!$A$6:$A$1005,"Daily",'Repeat Detail'!$B$6:$B$1005,$A210))</x:f>
      </x:c>
      <x:c r="E210" s="20" t="str">
        <x:f>IF($A210="","",SUMIFS('Repeat Detail'!$L$6:$L$1005,'Repeat Detail'!$A$6:$A$1005,"Daily",'Repeat Detail'!$B$6:$B$1005,$A210))</x:f>
      </x:c>
      <x:c r="F210" s="22" t="str">
        <x:f>IF(A210="","",IF(D210=0,"n.a.",E210/D210))</x:f>
      </x:c>
      <x:c r="G210" s="20" t="str">
        <x:f>IF($A210="","",SUMIFS('Repeat Detail'!$M$6:$M$1005,'Repeat Detail'!$A$6:$A$1005,"Daily",'Repeat Detail'!$B$6:$B$1005,$A210))</x:f>
      </x:c>
      <x:c r="H210" s="22" t="str">
        <x:f>IF(A210="","",IF(C210=0,"n.a.",G210/C210))</x:f>
      </x:c>
      <x:c r="I210" s="20" t="str">
        <x:f>IF($A210="","",SUMIFS('Repeat Detail'!$N$6:$N$1005,'Repeat Detail'!$A$6:$A$1005,"Daily",'Repeat Detail'!$B$6:$B$1005,$A210))</x:f>
      </x:c>
      <x:c r="J210" s="20" t="str">
        <x:f>IF(A210="","",B210-C210)</x:f>
      </x:c>
    </x:row>
    <x:row r="211">
      <x:c r="A211" s="12" t="str">
        <x:f>IF(A210="","",IF(A210+1&gt;IF(AND(COUNTIF('Repeat Detail'!$A$6:$A$1005,"Quality")=21,COUNTIF('Repeat Detail'!$A$6:$A$1005,"Menu")=12,COUNTIF('Repeat Detail'!$A$6:$A$1005,"Daily")=SUMIFS('Repeat Detail'!$O$6:$O$1005,'Repeat Detail'!$A$6:$A$1005,"Quality",'Repeat Detail'!$H$6:$H$1005,"Date span")),SUMIFS('Repeat Detail'!$O$6:$O$1005,'Repeat Detail'!$A$6:$A$1005,"Quality",'Repeat Detail'!$H$6:$H$1005,"Last date"),NA()),"",A210+1))</x:f>
      </x:c>
      <x:c r="B211" s="20" t="str">
        <x:f>IF($A211="","",SUMIFS('Repeat Detail'!$I$6:$I$1005,'Repeat Detail'!$A$6:$A$1005,"Daily",'Repeat Detail'!$B$6:$B$1005,$A211))</x:f>
      </x:c>
      <x:c r="C211" s="20" t="str">
        <x:f>IF($A211="","",SUMIFS('Repeat Detail'!$J$6:$J$1005,'Repeat Detail'!$A$6:$A$1005,"Daily",'Repeat Detail'!$B$6:$B$1005,$A211))</x:f>
      </x:c>
      <x:c r="D211" s="20" t="str">
        <x:f>IF($A211="","",SUMIFS('Repeat Detail'!$K$6:$K$1005,'Repeat Detail'!$A$6:$A$1005,"Daily",'Repeat Detail'!$B$6:$B$1005,$A211))</x:f>
      </x:c>
      <x:c r="E211" s="20" t="str">
        <x:f>IF($A211="","",SUMIFS('Repeat Detail'!$L$6:$L$1005,'Repeat Detail'!$A$6:$A$1005,"Daily",'Repeat Detail'!$B$6:$B$1005,$A211))</x:f>
      </x:c>
      <x:c r="F211" s="22" t="str">
        <x:f>IF(A211="","",IF(D211=0,"n.a.",E211/D211))</x:f>
      </x:c>
      <x:c r="G211" s="20" t="str">
        <x:f>IF($A211="","",SUMIFS('Repeat Detail'!$M$6:$M$1005,'Repeat Detail'!$A$6:$A$1005,"Daily",'Repeat Detail'!$B$6:$B$1005,$A211))</x:f>
      </x:c>
      <x:c r="H211" s="22" t="str">
        <x:f>IF(A211="","",IF(C211=0,"n.a.",G211/C211))</x:f>
      </x:c>
      <x:c r="I211" s="20" t="str">
        <x:f>IF($A211="","",SUMIFS('Repeat Detail'!$N$6:$N$1005,'Repeat Detail'!$A$6:$A$1005,"Daily",'Repeat Detail'!$B$6:$B$1005,$A211))</x:f>
      </x:c>
      <x:c r="J211" s="20" t="str">
        <x:f>IF(A211="","",B211-C211)</x:f>
      </x:c>
    </x:row>
    <x:row r="212">
      <x:c r="A212" s="12" t="str">
        <x:f>IF(A211="","",IF(A211+1&gt;IF(AND(COUNTIF('Repeat Detail'!$A$6:$A$1005,"Quality")=21,COUNTIF('Repeat Detail'!$A$6:$A$1005,"Menu")=12,COUNTIF('Repeat Detail'!$A$6:$A$1005,"Daily")=SUMIFS('Repeat Detail'!$O$6:$O$1005,'Repeat Detail'!$A$6:$A$1005,"Quality",'Repeat Detail'!$H$6:$H$1005,"Date span")),SUMIFS('Repeat Detail'!$O$6:$O$1005,'Repeat Detail'!$A$6:$A$1005,"Quality",'Repeat Detail'!$H$6:$H$1005,"Last date"),NA()),"",A211+1))</x:f>
      </x:c>
      <x:c r="B212" s="20" t="str">
        <x:f>IF($A212="","",SUMIFS('Repeat Detail'!$I$6:$I$1005,'Repeat Detail'!$A$6:$A$1005,"Daily",'Repeat Detail'!$B$6:$B$1005,$A212))</x:f>
      </x:c>
      <x:c r="C212" s="20" t="str">
        <x:f>IF($A212="","",SUMIFS('Repeat Detail'!$J$6:$J$1005,'Repeat Detail'!$A$6:$A$1005,"Daily",'Repeat Detail'!$B$6:$B$1005,$A212))</x:f>
      </x:c>
      <x:c r="D212" s="20" t="str">
        <x:f>IF($A212="","",SUMIFS('Repeat Detail'!$K$6:$K$1005,'Repeat Detail'!$A$6:$A$1005,"Daily",'Repeat Detail'!$B$6:$B$1005,$A212))</x:f>
      </x:c>
      <x:c r="E212" s="20" t="str">
        <x:f>IF($A212="","",SUMIFS('Repeat Detail'!$L$6:$L$1005,'Repeat Detail'!$A$6:$A$1005,"Daily",'Repeat Detail'!$B$6:$B$1005,$A212))</x:f>
      </x:c>
      <x:c r="F212" s="22" t="str">
        <x:f>IF(A212="","",IF(D212=0,"n.a.",E212/D212))</x:f>
      </x:c>
      <x:c r="G212" s="20" t="str">
        <x:f>IF($A212="","",SUMIFS('Repeat Detail'!$M$6:$M$1005,'Repeat Detail'!$A$6:$A$1005,"Daily",'Repeat Detail'!$B$6:$B$1005,$A212))</x:f>
      </x:c>
      <x:c r="H212" s="22" t="str">
        <x:f>IF(A212="","",IF(C212=0,"n.a.",G212/C212))</x:f>
      </x:c>
      <x:c r="I212" s="20" t="str">
        <x:f>IF($A212="","",SUMIFS('Repeat Detail'!$N$6:$N$1005,'Repeat Detail'!$A$6:$A$1005,"Daily",'Repeat Detail'!$B$6:$B$1005,$A212))</x:f>
      </x:c>
      <x:c r="J212" s="20" t="str">
        <x:f>IF(A212="","",B212-C212)</x:f>
      </x:c>
    </x:row>
    <x:row r="213">
      <x:c r="A213" s="12" t="str">
        <x:f>IF(A212="","",IF(A212+1&gt;IF(AND(COUNTIF('Repeat Detail'!$A$6:$A$1005,"Quality")=21,COUNTIF('Repeat Detail'!$A$6:$A$1005,"Menu")=12,COUNTIF('Repeat Detail'!$A$6:$A$1005,"Daily")=SUMIFS('Repeat Detail'!$O$6:$O$1005,'Repeat Detail'!$A$6:$A$1005,"Quality",'Repeat Detail'!$H$6:$H$1005,"Date span")),SUMIFS('Repeat Detail'!$O$6:$O$1005,'Repeat Detail'!$A$6:$A$1005,"Quality",'Repeat Detail'!$H$6:$H$1005,"Last date"),NA()),"",A212+1))</x:f>
      </x:c>
      <x:c r="B213" s="20" t="str">
        <x:f>IF($A213="","",SUMIFS('Repeat Detail'!$I$6:$I$1005,'Repeat Detail'!$A$6:$A$1005,"Daily",'Repeat Detail'!$B$6:$B$1005,$A213))</x:f>
      </x:c>
      <x:c r="C213" s="20" t="str">
        <x:f>IF($A213="","",SUMIFS('Repeat Detail'!$J$6:$J$1005,'Repeat Detail'!$A$6:$A$1005,"Daily",'Repeat Detail'!$B$6:$B$1005,$A213))</x:f>
      </x:c>
      <x:c r="D213" s="20" t="str">
        <x:f>IF($A213="","",SUMIFS('Repeat Detail'!$K$6:$K$1005,'Repeat Detail'!$A$6:$A$1005,"Daily",'Repeat Detail'!$B$6:$B$1005,$A213))</x:f>
      </x:c>
      <x:c r="E213" s="20" t="str">
        <x:f>IF($A213="","",SUMIFS('Repeat Detail'!$L$6:$L$1005,'Repeat Detail'!$A$6:$A$1005,"Daily",'Repeat Detail'!$B$6:$B$1005,$A213))</x:f>
      </x:c>
      <x:c r="F213" s="22" t="str">
        <x:f>IF(A213="","",IF(D213=0,"n.a.",E213/D213))</x:f>
      </x:c>
      <x:c r="G213" s="20" t="str">
        <x:f>IF($A213="","",SUMIFS('Repeat Detail'!$M$6:$M$1005,'Repeat Detail'!$A$6:$A$1005,"Daily",'Repeat Detail'!$B$6:$B$1005,$A213))</x:f>
      </x:c>
      <x:c r="H213" s="22" t="str">
        <x:f>IF(A213="","",IF(C213=0,"n.a.",G213/C213))</x:f>
      </x:c>
      <x:c r="I213" s="20" t="str">
        <x:f>IF($A213="","",SUMIFS('Repeat Detail'!$N$6:$N$1005,'Repeat Detail'!$A$6:$A$1005,"Daily",'Repeat Detail'!$B$6:$B$1005,$A213))</x:f>
      </x:c>
      <x:c r="J213" s="20" t="str">
        <x:f>IF(A213="","",B213-C213)</x:f>
      </x:c>
    </x:row>
    <x:row r="214">
      <x:c r="A214" s="12" t="str">
        <x:f>IF(A213="","",IF(A213+1&gt;IF(AND(COUNTIF('Repeat Detail'!$A$6:$A$1005,"Quality")=21,COUNTIF('Repeat Detail'!$A$6:$A$1005,"Menu")=12,COUNTIF('Repeat Detail'!$A$6:$A$1005,"Daily")=SUMIFS('Repeat Detail'!$O$6:$O$1005,'Repeat Detail'!$A$6:$A$1005,"Quality",'Repeat Detail'!$H$6:$H$1005,"Date span")),SUMIFS('Repeat Detail'!$O$6:$O$1005,'Repeat Detail'!$A$6:$A$1005,"Quality",'Repeat Detail'!$H$6:$H$1005,"Last date"),NA()),"",A213+1))</x:f>
      </x:c>
      <x:c r="B214" s="20" t="str">
        <x:f>IF($A214="","",SUMIFS('Repeat Detail'!$I$6:$I$1005,'Repeat Detail'!$A$6:$A$1005,"Daily",'Repeat Detail'!$B$6:$B$1005,$A214))</x:f>
      </x:c>
      <x:c r="C214" s="20" t="str">
        <x:f>IF($A214="","",SUMIFS('Repeat Detail'!$J$6:$J$1005,'Repeat Detail'!$A$6:$A$1005,"Daily",'Repeat Detail'!$B$6:$B$1005,$A214))</x:f>
      </x:c>
      <x:c r="D214" s="20" t="str">
        <x:f>IF($A214="","",SUMIFS('Repeat Detail'!$K$6:$K$1005,'Repeat Detail'!$A$6:$A$1005,"Daily",'Repeat Detail'!$B$6:$B$1005,$A214))</x:f>
      </x:c>
      <x:c r="E214" s="20" t="str">
        <x:f>IF($A214="","",SUMIFS('Repeat Detail'!$L$6:$L$1005,'Repeat Detail'!$A$6:$A$1005,"Daily",'Repeat Detail'!$B$6:$B$1005,$A214))</x:f>
      </x:c>
      <x:c r="F214" s="22" t="str">
        <x:f>IF(A214="","",IF(D214=0,"n.a.",E214/D214))</x:f>
      </x:c>
      <x:c r="G214" s="20" t="str">
        <x:f>IF($A214="","",SUMIFS('Repeat Detail'!$M$6:$M$1005,'Repeat Detail'!$A$6:$A$1005,"Daily",'Repeat Detail'!$B$6:$B$1005,$A214))</x:f>
      </x:c>
      <x:c r="H214" s="22" t="str">
        <x:f>IF(A214="","",IF(C214=0,"n.a.",G214/C214))</x:f>
      </x:c>
      <x:c r="I214" s="20" t="str">
        <x:f>IF($A214="","",SUMIFS('Repeat Detail'!$N$6:$N$1005,'Repeat Detail'!$A$6:$A$1005,"Daily",'Repeat Detail'!$B$6:$B$1005,$A214))</x:f>
      </x:c>
      <x:c r="J214" s="20" t="str">
        <x:f>IF(A214="","",B214-C214)</x:f>
      </x:c>
    </x:row>
    <x:row r="215">
      <x:c r="A215" s="12" t="str">
        <x:f>IF(A214="","",IF(A214+1&gt;IF(AND(COUNTIF('Repeat Detail'!$A$6:$A$1005,"Quality")=21,COUNTIF('Repeat Detail'!$A$6:$A$1005,"Menu")=12,COUNTIF('Repeat Detail'!$A$6:$A$1005,"Daily")=SUMIFS('Repeat Detail'!$O$6:$O$1005,'Repeat Detail'!$A$6:$A$1005,"Quality",'Repeat Detail'!$H$6:$H$1005,"Date span")),SUMIFS('Repeat Detail'!$O$6:$O$1005,'Repeat Detail'!$A$6:$A$1005,"Quality",'Repeat Detail'!$H$6:$H$1005,"Last date"),NA()),"",A214+1))</x:f>
      </x:c>
      <x:c r="B215" s="20" t="str">
        <x:f>IF($A215="","",SUMIFS('Repeat Detail'!$I$6:$I$1005,'Repeat Detail'!$A$6:$A$1005,"Daily",'Repeat Detail'!$B$6:$B$1005,$A215))</x:f>
      </x:c>
      <x:c r="C215" s="20" t="str">
        <x:f>IF($A215="","",SUMIFS('Repeat Detail'!$J$6:$J$1005,'Repeat Detail'!$A$6:$A$1005,"Daily",'Repeat Detail'!$B$6:$B$1005,$A215))</x:f>
      </x:c>
      <x:c r="D215" s="20" t="str">
        <x:f>IF($A215="","",SUMIFS('Repeat Detail'!$K$6:$K$1005,'Repeat Detail'!$A$6:$A$1005,"Daily",'Repeat Detail'!$B$6:$B$1005,$A215))</x:f>
      </x:c>
      <x:c r="E215" s="20" t="str">
        <x:f>IF($A215="","",SUMIFS('Repeat Detail'!$L$6:$L$1005,'Repeat Detail'!$A$6:$A$1005,"Daily",'Repeat Detail'!$B$6:$B$1005,$A215))</x:f>
      </x:c>
      <x:c r="F215" s="22" t="str">
        <x:f>IF(A215="","",IF(D215=0,"n.a.",E215/D215))</x:f>
      </x:c>
      <x:c r="G215" s="20" t="str">
        <x:f>IF($A215="","",SUMIFS('Repeat Detail'!$M$6:$M$1005,'Repeat Detail'!$A$6:$A$1005,"Daily",'Repeat Detail'!$B$6:$B$1005,$A215))</x:f>
      </x:c>
      <x:c r="H215" s="22" t="str">
        <x:f>IF(A215="","",IF(C215=0,"n.a.",G215/C215))</x:f>
      </x:c>
      <x:c r="I215" s="20" t="str">
        <x:f>IF($A215="","",SUMIFS('Repeat Detail'!$N$6:$N$1005,'Repeat Detail'!$A$6:$A$1005,"Daily",'Repeat Detail'!$B$6:$B$1005,$A215))</x:f>
      </x:c>
      <x:c r="J215" s="20" t="str">
        <x:f>IF(A215="","",B215-C215)</x:f>
      </x:c>
    </x:row>
    <x:row r="216">
      <x:c r="A216" s="12" t="str">
        <x:f>IF(A215="","",IF(A215+1&gt;IF(AND(COUNTIF('Repeat Detail'!$A$6:$A$1005,"Quality")=21,COUNTIF('Repeat Detail'!$A$6:$A$1005,"Menu")=12,COUNTIF('Repeat Detail'!$A$6:$A$1005,"Daily")=SUMIFS('Repeat Detail'!$O$6:$O$1005,'Repeat Detail'!$A$6:$A$1005,"Quality",'Repeat Detail'!$H$6:$H$1005,"Date span")),SUMIFS('Repeat Detail'!$O$6:$O$1005,'Repeat Detail'!$A$6:$A$1005,"Quality",'Repeat Detail'!$H$6:$H$1005,"Last date"),NA()),"",A215+1))</x:f>
      </x:c>
      <x:c r="B216" s="20" t="str">
        <x:f>IF($A216="","",SUMIFS('Repeat Detail'!$I$6:$I$1005,'Repeat Detail'!$A$6:$A$1005,"Daily",'Repeat Detail'!$B$6:$B$1005,$A216))</x:f>
      </x:c>
      <x:c r="C216" s="20" t="str">
        <x:f>IF($A216="","",SUMIFS('Repeat Detail'!$J$6:$J$1005,'Repeat Detail'!$A$6:$A$1005,"Daily",'Repeat Detail'!$B$6:$B$1005,$A216))</x:f>
      </x:c>
      <x:c r="D216" s="20" t="str">
        <x:f>IF($A216="","",SUMIFS('Repeat Detail'!$K$6:$K$1005,'Repeat Detail'!$A$6:$A$1005,"Daily",'Repeat Detail'!$B$6:$B$1005,$A216))</x:f>
      </x:c>
      <x:c r="E216" s="20" t="str">
        <x:f>IF($A216="","",SUMIFS('Repeat Detail'!$L$6:$L$1005,'Repeat Detail'!$A$6:$A$1005,"Daily",'Repeat Detail'!$B$6:$B$1005,$A216))</x:f>
      </x:c>
      <x:c r="F216" s="22" t="str">
        <x:f>IF(A216="","",IF(D216=0,"n.a.",E216/D216))</x:f>
      </x:c>
      <x:c r="G216" s="20" t="str">
        <x:f>IF($A216="","",SUMIFS('Repeat Detail'!$M$6:$M$1005,'Repeat Detail'!$A$6:$A$1005,"Daily",'Repeat Detail'!$B$6:$B$1005,$A216))</x:f>
      </x:c>
      <x:c r="H216" s="22" t="str">
        <x:f>IF(A216="","",IF(C216=0,"n.a.",G216/C216))</x:f>
      </x:c>
      <x:c r="I216" s="20" t="str">
        <x:f>IF($A216="","",SUMIFS('Repeat Detail'!$N$6:$N$1005,'Repeat Detail'!$A$6:$A$1005,"Daily",'Repeat Detail'!$B$6:$B$1005,$A216))</x:f>
      </x:c>
      <x:c r="J216" s="20" t="str">
        <x:f>IF(A216="","",B216-C216)</x:f>
      </x:c>
    </x:row>
    <x:row r="217">
      <x:c r="A217" s="12" t="str">
        <x:f>IF(A216="","",IF(A216+1&gt;IF(AND(COUNTIF('Repeat Detail'!$A$6:$A$1005,"Quality")=21,COUNTIF('Repeat Detail'!$A$6:$A$1005,"Menu")=12,COUNTIF('Repeat Detail'!$A$6:$A$1005,"Daily")=SUMIFS('Repeat Detail'!$O$6:$O$1005,'Repeat Detail'!$A$6:$A$1005,"Quality",'Repeat Detail'!$H$6:$H$1005,"Date span")),SUMIFS('Repeat Detail'!$O$6:$O$1005,'Repeat Detail'!$A$6:$A$1005,"Quality",'Repeat Detail'!$H$6:$H$1005,"Last date"),NA()),"",A216+1))</x:f>
      </x:c>
      <x:c r="B217" s="20" t="str">
        <x:f>IF($A217="","",SUMIFS('Repeat Detail'!$I$6:$I$1005,'Repeat Detail'!$A$6:$A$1005,"Daily",'Repeat Detail'!$B$6:$B$1005,$A217))</x:f>
      </x:c>
      <x:c r="C217" s="20" t="str">
        <x:f>IF($A217="","",SUMIFS('Repeat Detail'!$J$6:$J$1005,'Repeat Detail'!$A$6:$A$1005,"Daily",'Repeat Detail'!$B$6:$B$1005,$A217))</x:f>
      </x:c>
      <x:c r="D217" s="20" t="str">
        <x:f>IF($A217="","",SUMIFS('Repeat Detail'!$K$6:$K$1005,'Repeat Detail'!$A$6:$A$1005,"Daily",'Repeat Detail'!$B$6:$B$1005,$A217))</x:f>
      </x:c>
      <x:c r="E217" s="20" t="str">
        <x:f>IF($A217="","",SUMIFS('Repeat Detail'!$L$6:$L$1005,'Repeat Detail'!$A$6:$A$1005,"Daily",'Repeat Detail'!$B$6:$B$1005,$A217))</x:f>
      </x:c>
      <x:c r="F217" s="22" t="str">
        <x:f>IF(A217="","",IF(D217=0,"n.a.",E217/D217))</x:f>
      </x:c>
      <x:c r="G217" s="20" t="str">
        <x:f>IF($A217="","",SUMIFS('Repeat Detail'!$M$6:$M$1005,'Repeat Detail'!$A$6:$A$1005,"Daily",'Repeat Detail'!$B$6:$B$1005,$A217))</x:f>
      </x:c>
      <x:c r="H217" s="22" t="str">
        <x:f>IF(A217="","",IF(C217=0,"n.a.",G217/C217))</x:f>
      </x:c>
      <x:c r="I217" s="20" t="str">
        <x:f>IF($A217="","",SUMIFS('Repeat Detail'!$N$6:$N$1005,'Repeat Detail'!$A$6:$A$1005,"Daily",'Repeat Detail'!$B$6:$B$1005,$A217))</x:f>
      </x:c>
      <x:c r="J217" s="20" t="str">
        <x:f>IF(A217="","",B217-C217)</x:f>
      </x:c>
    </x:row>
    <x:row r="218">
      <x:c r="A218" s="12" t="str">
        <x:f>IF(A217="","",IF(A217+1&gt;IF(AND(COUNTIF('Repeat Detail'!$A$6:$A$1005,"Quality")=21,COUNTIF('Repeat Detail'!$A$6:$A$1005,"Menu")=12,COUNTIF('Repeat Detail'!$A$6:$A$1005,"Daily")=SUMIFS('Repeat Detail'!$O$6:$O$1005,'Repeat Detail'!$A$6:$A$1005,"Quality",'Repeat Detail'!$H$6:$H$1005,"Date span")),SUMIFS('Repeat Detail'!$O$6:$O$1005,'Repeat Detail'!$A$6:$A$1005,"Quality",'Repeat Detail'!$H$6:$H$1005,"Last date"),NA()),"",A217+1))</x:f>
      </x:c>
      <x:c r="B218" s="20" t="str">
        <x:f>IF($A218="","",SUMIFS('Repeat Detail'!$I$6:$I$1005,'Repeat Detail'!$A$6:$A$1005,"Daily",'Repeat Detail'!$B$6:$B$1005,$A218))</x:f>
      </x:c>
      <x:c r="C218" s="20" t="str">
        <x:f>IF($A218="","",SUMIFS('Repeat Detail'!$J$6:$J$1005,'Repeat Detail'!$A$6:$A$1005,"Daily",'Repeat Detail'!$B$6:$B$1005,$A218))</x:f>
      </x:c>
      <x:c r="D218" s="20" t="str">
        <x:f>IF($A218="","",SUMIFS('Repeat Detail'!$K$6:$K$1005,'Repeat Detail'!$A$6:$A$1005,"Daily",'Repeat Detail'!$B$6:$B$1005,$A218))</x:f>
      </x:c>
      <x:c r="E218" s="20" t="str">
        <x:f>IF($A218="","",SUMIFS('Repeat Detail'!$L$6:$L$1005,'Repeat Detail'!$A$6:$A$1005,"Daily",'Repeat Detail'!$B$6:$B$1005,$A218))</x:f>
      </x:c>
      <x:c r="F218" s="22" t="str">
        <x:f>IF(A218="","",IF(D218=0,"n.a.",E218/D218))</x:f>
      </x:c>
      <x:c r="G218" s="20" t="str">
        <x:f>IF($A218="","",SUMIFS('Repeat Detail'!$M$6:$M$1005,'Repeat Detail'!$A$6:$A$1005,"Daily",'Repeat Detail'!$B$6:$B$1005,$A218))</x:f>
      </x:c>
      <x:c r="H218" s="22" t="str">
        <x:f>IF(A218="","",IF(C218=0,"n.a.",G218/C218))</x:f>
      </x:c>
      <x:c r="I218" s="20" t="str">
        <x:f>IF($A218="","",SUMIFS('Repeat Detail'!$N$6:$N$1005,'Repeat Detail'!$A$6:$A$1005,"Daily",'Repeat Detail'!$B$6:$B$1005,$A218))</x:f>
      </x:c>
      <x:c r="J218" s="20" t="str">
        <x:f>IF(A218="","",B218-C218)</x:f>
      </x:c>
    </x:row>
    <x:row r="219">
      <x:c r="A219" s="12" t="str">
        <x:f>IF(A218="","",IF(A218+1&gt;IF(AND(COUNTIF('Repeat Detail'!$A$6:$A$1005,"Quality")=21,COUNTIF('Repeat Detail'!$A$6:$A$1005,"Menu")=12,COUNTIF('Repeat Detail'!$A$6:$A$1005,"Daily")=SUMIFS('Repeat Detail'!$O$6:$O$1005,'Repeat Detail'!$A$6:$A$1005,"Quality",'Repeat Detail'!$H$6:$H$1005,"Date span")),SUMIFS('Repeat Detail'!$O$6:$O$1005,'Repeat Detail'!$A$6:$A$1005,"Quality",'Repeat Detail'!$H$6:$H$1005,"Last date"),NA()),"",A218+1))</x:f>
      </x:c>
      <x:c r="B219" s="20" t="str">
        <x:f>IF($A219="","",SUMIFS('Repeat Detail'!$I$6:$I$1005,'Repeat Detail'!$A$6:$A$1005,"Daily",'Repeat Detail'!$B$6:$B$1005,$A219))</x:f>
      </x:c>
      <x:c r="C219" s="20" t="str">
        <x:f>IF($A219="","",SUMIFS('Repeat Detail'!$J$6:$J$1005,'Repeat Detail'!$A$6:$A$1005,"Daily",'Repeat Detail'!$B$6:$B$1005,$A219))</x:f>
      </x:c>
      <x:c r="D219" s="20" t="str">
        <x:f>IF($A219="","",SUMIFS('Repeat Detail'!$K$6:$K$1005,'Repeat Detail'!$A$6:$A$1005,"Daily",'Repeat Detail'!$B$6:$B$1005,$A219))</x:f>
      </x:c>
      <x:c r="E219" s="20" t="str">
        <x:f>IF($A219="","",SUMIFS('Repeat Detail'!$L$6:$L$1005,'Repeat Detail'!$A$6:$A$1005,"Daily",'Repeat Detail'!$B$6:$B$1005,$A219))</x:f>
      </x:c>
      <x:c r="F219" s="22" t="str">
        <x:f>IF(A219="","",IF(D219=0,"n.a.",E219/D219))</x:f>
      </x:c>
      <x:c r="G219" s="20" t="str">
        <x:f>IF($A219="","",SUMIFS('Repeat Detail'!$M$6:$M$1005,'Repeat Detail'!$A$6:$A$1005,"Daily",'Repeat Detail'!$B$6:$B$1005,$A219))</x:f>
      </x:c>
      <x:c r="H219" s="22" t="str">
        <x:f>IF(A219="","",IF(C219=0,"n.a.",G219/C219))</x:f>
      </x:c>
      <x:c r="I219" s="20" t="str">
        <x:f>IF($A219="","",SUMIFS('Repeat Detail'!$N$6:$N$1005,'Repeat Detail'!$A$6:$A$1005,"Daily",'Repeat Detail'!$B$6:$B$1005,$A219))</x:f>
      </x:c>
      <x:c r="J219" s="20" t="str">
        <x:f>IF(A219="","",B219-C219)</x:f>
      </x:c>
    </x:row>
    <x:row r="220">
      <x:c r="A220" s="12" t="str">
        <x:f>IF(A219="","",IF(A219+1&gt;IF(AND(COUNTIF('Repeat Detail'!$A$6:$A$1005,"Quality")=21,COUNTIF('Repeat Detail'!$A$6:$A$1005,"Menu")=12,COUNTIF('Repeat Detail'!$A$6:$A$1005,"Daily")=SUMIFS('Repeat Detail'!$O$6:$O$1005,'Repeat Detail'!$A$6:$A$1005,"Quality",'Repeat Detail'!$H$6:$H$1005,"Date span")),SUMIFS('Repeat Detail'!$O$6:$O$1005,'Repeat Detail'!$A$6:$A$1005,"Quality",'Repeat Detail'!$H$6:$H$1005,"Last date"),NA()),"",A219+1))</x:f>
      </x:c>
      <x:c r="B220" s="20" t="str">
        <x:f>IF($A220="","",SUMIFS('Repeat Detail'!$I$6:$I$1005,'Repeat Detail'!$A$6:$A$1005,"Daily",'Repeat Detail'!$B$6:$B$1005,$A220))</x:f>
      </x:c>
      <x:c r="C220" s="20" t="str">
        <x:f>IF($A220="","",SUMIFS('Repeat Detail'!$J$6:$J$1005,'Repeat Detail'!$A$6:$A$1005,"Daily",'Repeat Detail'!$B$6:$B$1005,$A220))</x:f>
      </x:c>
      <x:c r="D220" s="20" t="str">
        <x:f>IF($A220="","",SUMIFS('Repeat Detail'!$K$6:$K$1005,'Repeat Detail'!$A$6:$A$1005,"Daily",'Repeat Detail'!$B$6:$B$1005,$A220))</x:f>
      </x:c>
      <x:c r="E220" s="20" t="str">
        <x:f>IF($A220="","",SUMIFS('Repeat Detail'!$L$6:$L$1005,'Repeat Detail'!$A$6:$A$1005,"Daily",'Repeat Detail'!$B$6:$B$1005,$A220))</x:f>
      </x:c>
      <x:c r="F220" s="22" t="str">
        <x:f>IF(A220="","",IF(D220=0,"n.a.",E220/D220))</x:f>
      </x:c>
      <x:c r="G220" s="20" t="str">
        <x:f>IF($A220="","",SUMIFS('Repeat Detail'!$M$6:$M$1005,'Repeat Detail'!$A$6:$A$1005,"Daily",'Repeat Detail'!$B$6:$B$1005,$A220))</x:f>
      </x:c>
      <x:c r="H220" s="22" t="str">
        <x:f>IF(A220="","",IF(C220=0,"n.a.",G220/C220))</x:f>
      </x:c>
      <x:c r="I220" s="20" t="str">
        <x:f>IF($A220="","",SUMIFS('Repeat Detail'!$N$6:$N$1005,'Repeat Detail'!$A$6:$A$1005,"Daily",'Repeat Detail'!$B$6:$B$1005,$A220))</x:f>
      </x:c>
      <x:c r="J220" s="20" t="str">
        <x:f>IF(A220="","",B220-C220)</x:f>
      </x:c>
    </x:row>
    <x:row r="221">
      <x:c r="A221" s="12" t="str">
        <x:f>IF(A220="","",IF(A220+1&gt;IF(AND(COUNTIF('Repeat Detail'!$A$6:$A$1005,"Quality")=21,COUNTIF('Repeat Detail'!$A$6:$A$1005,"Menu")=12,COUNTIF('Repeat Detail'!$A$6:$A$1005,"Daily")=SUMIFS('Repeat Detail'!$O$6:$O$1005,'Repeat Detail'!$A$6:$A$1005,"Quality",'Repeat Detail'!$H$6:$H$1005,"Date span")),SUMIFS('Repeat Detail'!$O$6:$O$1005,'Repeat Detail'!$A$6:$A$1005,"Quality",'Repeat Detail'!$H$6:$H$1005,"Last date"),NA()),"",A220+1))</x:f>
      </x:c>
      <x:c r="B221" s="20" t="str">
        <x:f>IF($A221="","",SUMIFS('Repeat Detail'!$I$6:$I$1005,'Repeat Detail'!$A$6:$A$1005,"Daily",'Repeat Detail'!$B$6:$B$1005,$A221))</x:f>
      </x:c>
      <x:c r="C221" s="20" t="str">
        <x:f>IF($A221="","",SUMIFS('Repeat Detail'!$J$6:$J$1005,'Repeat Detail'!$A$6:$A$1005,"Daily",'Repeat Detail'!$B$6:$B$1005,$A221))</x:f>
      </x:c>
      <x:c r="D221" s="20" t="str">
        <x:f>IF($A221="","",SUMIFS('Repeat Detail'!$K$6:$K$1005,'Repeat Detail'!$A$6:$A$1005,"Daily",'Repeat Detail'!$B$6:$B$1005,$A221))</x:f>
      </x:c>
      <x:c r="E221" s="20" t="str">
        <x:f>IF($A221="","",SUMIFS('Repeat Detail'!$L$6:$L$1005,'Repeat Detail'!$A$6:$A$1005,"Daily",'Repeat Detail'!$B$6:$B$1005,$A221))</x:f>
      </x:c>
      <x:c r="F221" s="22" t="str">
        <x:f>IF(A221="","",IF(D221=0,"n.a.",E221/D221))</x:f>
      </x:c>
      <x:c r="G221" s="20" t="str">
        <x:f>IF($A221="","",SUMIFS('Repeat Detail'!$M$6:$M$1005,'Repeat Detail'!$A$6:$A$1005,"Daily",'Repeat Detail'!$B$6:$B$1005,$A221))</x:f>
      </x:c>
      <x:c r="H221" s="22" t="str">
        <x:f>IF(A221="","",IF(C221=0,"n.a.",G221/C221))</x:f>
      </x:c>
      <x:c r="I221" s="20" t="str">
        <x:f>IF($A221="","",SUMIFS('Repeat Detail'!$N$6:$N$1005,'Repeat Detail'!$A$6:$A$1005,"Daily",'Repeat Detail'!$B$6:$B$1005,$A221))</x:f>
      </x:c>
      <x:c r="J221" s="20" t="str">
        <x:f>IF(A221="","",B221-C221)</x:f>
      </x:c>
    </x:row>
    <x:row r="222">
      <x:c r="A222" s="12" t="str">
        <x:f>IF(A221="","",IF(A221+1&gt;IF(AND(COUNTIF('Repeat Detail'!$A$6:$A$1005,"Quality")=21,COUNTIF('Repeat Detail'!$A$6:$A$1005,"Menu")=12,COUNTIF('Repeat Detail'!$A$6:$A$1005,"Daily")=SUMIFS('Repeat Detail'!$O$6:$O$1005,'Repeat Detail'!$A$6:$A$1005,"Quality",'Repeat Detail'!$H$6:$H$1005,"Date span")),SUMIFS('Repeat Detail'!$O$6:$O$1005,'Repeat Detail'!$A$6:$A$1005,"Quality",'Repeat Detail'!$H$6:$H$1005,"Last date"),NA()),"",A221+1))</x:f>
      </x:c>
      <x:c r="B222" s="20" t="str">
        <x:f>IF($A222="","",SUMIFS('Repeat Detail'!$I$6:$I$1005,'Repeat Detail'!$A$6:$A$1005,"Daily",'Repeat Detail'!$B$6:$B$1005,$A222))</x:f>
      </x:c>
      <x:c r="C222" s="20" t="str">
        <x:f>IF($A222="","",SUMIFS('Repeat Detail'!$J$6:$J$1005,'Repeat Detail'!$A$6:$A$1005,"Daily",'Repeat Detail'!$B$6:$B$1005,$A222))</x:f>
      </x:c>
      <x:c r="D222" s="20" t="str">
        <x:f>IF($A222="","",SUMIFS('Repeat Detail'!$K$6:$K$1005,'Repeat Detail'!$A$6:$A$1005,"Daily",'Repeat Detail'!$B$6:$B$1005,$A222))</x:f>
      </x:c>
      <x:c r="E222" s="20" t="str">
        <x:f>IF($A222="","",SUMIFS('Repeat Detail'!$L$6:$L$1005,'Repeat Detail'!$A$6:$A$1005,"Daily",'Repeat Detail'!$B$6:$B$1005,$A222))</x:f>
      </x:c>
      <x:c r="F222" s="22" t="str">
        <x:f>IF(A222="","",IF(D222=0,"n.a.",E222/D222))</x:f>
      </x:c>
      <x:c r="G222" s="20" t="str">
        <x:f>IF($A222="","",SUMIFS('Repeat Detail'!$M$6:$M$1005,'Repeat Detail'!$A$6:$A$1005,"Daily",'Repeat Detail'!$B$6:$B$1005,$A222))</x:f>
      </x:c>
      <x:c r="H222" s="22" t="str">
        <x:f>IF(A222="","",IF(C222=0,"n.a.",G222/C222))</x:f>
      </x:c>
      <x:c r="I222" s="20" t="str">
        <x:f>IF($A222="","",SUMIFS('Repeat Detail'!$N$6:$N$1005,'Repeat Detail'!$A$6:$A$1005,"Daily",'Repeat Detail'!$B$6:$B$1005,$A222))</x:f>
      </x:c>
      <x:c r="J222" s="20" t="str">
        <x:f>IF(A222="","",B222-C222)</x:f>
      </x:c>
    </x:row>
    <x:row r="223">
      <x:c r="A223" s="12" t="str">
        <x:f>IF(A222="","",IF(A222+1&gt;IF(AND(COUNTIF('Repeat Detail'!$A$6:$A$1005,"Quality")=21,COUNTIF('Repeat Detail'!$A$6:$A$1005,"Menu")=12,COUNTIF('Repeat Detail'!$A$6:$A$1005,"Daily")=SUMIFS('Repeat Detail'!$O$6:$O$1005,'Repeat Detail'!$A$6:$A$1005,"Quality",'Repeat Detail'!$H$6:$H$1005,"Date span")),SUMIFS('Repeat Detail'!$O$6:$O$1005,'Repeat Detail'!$A$6:$A$1005,"Quality",'Repeat Detail'!$H$6:$H$1005,"Last date"),NA()),"",A222+1))</x:f>
      </x:c>
      <x:c r="B223" s="20" t="str">
        <x:f>IF($A223="","",SUMIFS('Repeat Detail'!$I$6:$I$1005,'Repeat Detail'!$A$6:$A$1005,"Daily",'Repeat Detail'!$B$6:$B$1005,$A223))</x:f>
      </x:c>
      <x:c r="C223" s="20" t="str">
        <x:f>IF($A223="","",SUMIFS('Repeat Detail'!$J$6:$J$1005,'Repeat Detail'!$A$6:$A$1005,"Daily",'Repeat Detail'!$B$6:$B$1005,$A223))</x:f>
      </x:c>
      <x:c r="D223" s="20" t="str">
        <x:f>IF($A223="","",SUMIFS('Repeat Detail'!$K$6:$K$1005,'Repeat Detail'!$A$6:$A$1005,"Daily",'Repeat Detail'!$B$6:$B$1005,$A223))</x:f>
      </x:c>
      <x:c r="E223" s="20" t="str">
        <x:f>IF($A223="","",SUMIFS('Repeat Detail'!$L$6:$L$1005,'Repeat Detail'!$A$6:$A$1005,"Daily",'Repeat Detail'!$B$6:$B$1005,$A223))</x:f>
      </x:c>
      <x:c r="F223" s="22" t="str">
        <x:f>IF(A223="","",IF(D223=0,"n.a.",E223/D223))</x:f>
      </x:c>
      <x:c r="G223" s="20" t="str">
        <x:f>IF($A223="","",SUMIFS('Repeat Detail'!$M$6:$M$1005,'Repeat Detail'!$A$6:$A$1005,"Daily",'Repeat Detail'!$B$6:$B$1005,$A223))</x:f>
      </x:c>
      <x:c r="H223" s="22" t="str">
        <x:f>IF(A223="","",IF(C223=0,"n.a.",G223/C223))</x:f>
      </x:c>
      <x:c r="I223" s="20" t="str">
        <x:f>IF($A223="","",SUMIFS('Repeat Detail'!$N$6:$N$1005,'Repeat Detail'!$A$6:$A$1005,"Daily",'Repeat Detail'!$B$6:$B$1005,$A223))</x:f>
      </x:c>
      <x:c r="J223" s="20" t="str">
        <x:f>IF(A223="","",B223-C223)</x:f>
      </x:c>
    </x:row>
    <x:row r="224">
      <x:c r="A224" s="12" t="str">
        <x:f>IF(A223="","",IF(A223+1&gt;IF(AND(COUNTIF('Repeat Detail'!$A$6:$A$1005,"Quality")=21,COUNTIF('Repeat Detail'!$A$6:$A$1005,"Menu")=12,COUNTIF('Repeat Detail'!$A$6:$A$1005,"Daily")=SUMIFS('Repeat Detail'!$O$6:$O$1005,'Repeat Detail'!$A$6:$A$1005,"Quality",'Repeat Detail'!$H$6:$H$1005,"Date span")),SUMIFS('Repeat Detail'!$O$6:$O$1005,'Repeat Detail'!$A$6:$A$1005,"Quality",'Repeat Detail'!$H$6:$H$1005,"Last date"),NA()),"",A223+1))</x:f>
      </x:c>
      <x:c r="B224" s="20" t="str">
        <x:f>IF($A224="","",SUMIFS('Repeat Detail'!$I$6:$I$1005,'Repeat Detail'!$A$6:$A$1005,"Daily",'Repeat Detail'!$B$6:$B$1005,$A224))</x:f>
      </x:c>
      <x:c r="C224" s="20" t="str">
        <x:f>IF($A224="","",SUMIFS('Repeat Detail'!$J$6:$J$1005,'Repeat Detail'!$A$6:$A$1005,"Daily",'Repeat Detail'!$B$6:$B$1005,$A224))</x:f>
      </x:c>
      <x:c r="D224" s="20" t="str">
        <x:f>IF($A224="","",SUMIFS('Repeat Detail'!$K$6:$K$1005,'Repeat Detail'!$A$6:$A$1005,"Daily",'Repeat Detail'!$B$6:$B$1005,$A224))</x:f>
      </x:c>
      <x:c r="E224" s="20" t="str">
        <x:f>IF($A224="","",SUMIFS('Repeat Detail'!$L$6:$L$1005,'Repeat Detail'!$A$6:$A$1005,"Daily",'Repeat Detail'!$B$6:$B$1005,$A224))</x:f>
      </x:c>
      <x:c r="F224" s="22" t="str">
        <x:f>IF(A224="","",IF(D224=0,"n.a.",E224/D224))</x:f>
      </x:c>
      <x:c r="G224" s="20" t="str">
        <x:f>IF($A224="","",SUMIFS('Repeat Detail'!$M$6:$M$1005,'Repeat Detail'!$A$6:$A$1005,"Daily",'Repeat Detail'!$B$6:$B$1005,$A224))</x:f>
      </x:c>
      <x:c r="H224" s="22" t="str">
        <x:f>IF(A224="","",IF(C224=0,"n.a.",G224/C224))</x:f>
      </x:c>
      <x:c r="I224" s="20" t="str">
        <x:f>IF($A224="","",SUMIFS('Repeat Detail'!$N$6:$N$1005,'Repeat Detail'!$A$6:$A$1005,"Daily",'Repeat Detail'!$B$6:$B$1005,$A224))</x:f>
      </x:c>
      <x:c r="J224" s="20" t="str">
        <x:f>IF(A224="","",B224-C224)</x:f>
      </x:c>
    </x:row>
    <x:row r="225">
      <x:c r="A225" s="12" t="str">
        <x:f>IF(A224="","",IF(A224+1&gt;IF(AND(COUNTIF('Repeat Detail'!$A$6:$A$1005,"Quality")=21,COUNTIF('Repeat Detail'!$A$6:$A$1005,"Menu")=12,COUNTIF('Repeat Detail'!$A$6:$A$1005,"Daily")=SUMIFS('Repeat Detail'!$O$6:$O$1005,'Repeat Detail'!$A$6:$A$1005,"Quality",'Repeat Detail'!$H$6:$H$1005,"Date span")),SUMIFS('Repeat Detail'!$O$6:$O$1005,'Repeat Detail'!$A$6:$A$1005,"Quality",'Repeat Detail'!$H$6:$H$1005,"Last date"),NA()),"",A224+1))</x:f>
      </x:c>
      <x:c r="B225" s="20" t="str">
        <x:f>IF($A225="","",SUMIFS('Repeat Detail'!$I$6:$I$1005,'Repeat Detail'!$A$6:$A$1005,"Daily",'Repeat Detail'!$B$6:$B$1005,$A225))</x:f>
      </x:c>
      <x:c r="C225" s="20" t="str">
        <x:f>IF($A225="","",SUMIFS('Repeat Detail'!$J$6:$J$1005,'Repeat Detail'!$A$6:$A$1005,"Daily",'Repeat Detail'!$B$6:$B$1005,$A225))</x:f>
      </x:c>
      <x:c r="D225" s="20" t="str">
        <x:f>IF($A225="","",SUMIFS('Repeat Detail'!$K$6:$K$1005,'Repeat Detail'!$A$6:$A$1005,"Daily",'Repeat Detail'!$B$6:$B$1005,$A225))</x:f>
      </x:c>
      <x:c r="E225" s="20" t="str">
        <x:f>IF($A225="","",SUMIFS('Repeat Detail'!$L$6:$L$1005,'Repeat Detail'!$A$6:$A$1005,"Daily",'Repeat Detail'!$B$6:$B$1005,$A225))</x:f>
      </x:c>
      <x:c r="F225" s="22" t="str">
        <x:f>IF(A225="","",IF(D225=0,"n.a.",E225/D225))</x:f>
      </x:c>
      <x:c r="G225" s="20" t="str">
        <x:f>IF($A225="","",SUMIFS('Repeat Detail'!$M$6:$M$1005,'Repeat Detail'!$A$6:$A$1005,"Daily",'Repeat Detail'!$B$6:$B$1005,$A225))</x:f>
      </x:c>
      <x:c r="H225" s="22" t="str">
        <x:f>IF(A225="","",IF(C225=0,"n.a.",G225/C225))</x:f>
      </x:c>
      <x:c r="I225" s="20" t="str">
        <x:f>IF($A225="","",SUMIFS('Repeat Detail'!$N$6:$N$1005,'Repeat Detail'!$A$6:$A$1005,"Daily",'Repeat Detail'!$B$6:$B$1005,$A225))</x:f>
      </x:c>
      <x:c r="J225" s="20" t="str">
        <x:f>IF(A225="","",B225-C225)</x:f>
      </x:c>
    </x:row>
    <x:row r="226">
      <x:c r="A226" s="12" t="str">
        <x:f>IF(A225="","",IF(A225+1&gt;IF(AND(COUNTIF('Repeat Detail'!$A$6:$A$1005,"Quality")=21,COUNTIF('Repeat Detail'!$A$6:$A$1005,"Menu")=12,COUNTIF('Repeat Detail'!$A$6:$A$1005,"Daily")=SUMIFS('Repeat Detail'!$O$6:$O$1005,'Repeat Detail'!$A$6:$A$1005,"Quality",'Repeat Detail'!$H$6:$H$1005,"Date span")),SUMIFS('Repeat Detail'!$O$6:$O$1005,'Repeat Detail'!$A$6:$A$1005,"Quality",'Repeat Detail'!$H$6:$H$1005,"Last date"),NA()),"",A225+1))</x:f>
      </x:c>
      <x:c r="B226" s="20" t="str">
        <x:f>IF($A226="","",SUMIFS('Repeat Detail'!$I$6:$I$1005,'Repeat Detail'!$A$6:$A$1005,"Daily",'Repeat Detail'!$B$6:$B$1005,$A226))</x:f>
      </x:c>
      <x:c r="C226" s="20" t="str">
        <x:f>IF($A226="","",SUMIFS('Repeat Detail'!$J$6:$J$1005,'Repeat Detail'!$A$6:$A$1005,"Daily",'Repeat Detail'!$B$6:$B$1005,$A226))</x:f>
      </x:c>
      <x:c r="D226" s="20" t="str">
        <x:f>IF($A226="","",SUMIFS('Repeat Detail'!$K$6:$K$1005,'Repeat Detail'!$A$6:$A$1005,"Daily",'Repeat Detail'!$B$6:$B$1005,$A226))</x:f>
      </x:c>
      <x:c r="E226" s="20" t="str">
        <x:f>IF($A226="","",SUMIFS('Repeat Detail'!$L$6:$L$1005,'Repeat Detail'!$A$6:$A$1005,"Daily",'Repeat Detail'!$B$6:$B$1005,$A226))</x:f>
      </x:c>
      <x:c r="F226" s="22" t="str">
        <x:f>IF(A226="","",IF(D226=0,"n.a.",E226/D226))</x:f>
      </x:c>
      <x:c r="G226" s="20" t="str">
        <x:f>IF($A226="","",SUMIFS('Repeat Detail'!$M$6:$M$1005,'Repeat Detail'!$A$6:$A$1005,"Daily",'Repeat Detail'!$B$6:$B$1005,$A226))</x:f>
      </x:c>
      <x:c r="H226" s="22" t="str">
        <x:f>IF(A226="","",IF(C226=0,"n.a.",G226/C226))</x:f>
      </x:c>
      <x:c r="I226" s="20" t="str">
        <x:f>IF($A226="","",SUMIFS('Repeat Detail'!$N$6:$N$1005,'Repeat Detail'!$A$6:$A$1005,"Daily",'Repeat Detail'!$B$6:$B$1005,$A226))</x:f>
      </x:c>
      <x:c r="J226" s="20" t="str">
        <x:f>IF(A226="","",B226-C226)</x:f>
      </x:c>
    </x:row>
    <x:row r="227">
      <x:c r="A227" s="12" t="str">
        <x:f>IF(A226="","",IF(A226+1&gt;IF(AND(COUNTIF('Repeat Detail'!$A$6:$A$1005,"Quality")=21,COUNTIF('Repeat Detail'!$A$6:$A$1005,"Menu")=12,COUNTIF('Repeat Detail'!$A$6:$A$1005,"Daily")=SUMIFS('Repeat Detail'!$O$6:$O$1005,'Repeat Detail'!$A$6:$A$1005,"Quality",'Repeat Detail'!$H$6:$H$1005,"Date span")),SUMIFS('Repeat Detail'!$O$6:$O$1005,'Repeat Detail'!$A$6:$A$1005,"Quality",'Repeat Detail'!$H$6:$H$1005,"Last date"),NA()),"",A226+1))</x:f>
      </x:c>
      <x:c r="B227" s="20" t="str">
        <x:f>IF($A227="","",SUMIFS('Repeat Detail'!$I$6:$I$1005,'Repeat Detail'!$A$6:$A$1005,"Daily",'Repeat Detail'!$B$6:$B$1005,$A227))</x:f>
      </x:c>
      <x:c r="C227" s="20" t="str">
        <x:f>IF($A227="","",SUMIFS('Repeat Detail'!$J$6:$J$1005,'Repeat Detail'!$A$6:$A$1005,"Daily",'Repeat Detail'!$B$6:$B$1005,$A227))</x:f>
      </x:c>
      <x:c r="D227" s="20" t="str">
        <x:f>IF($A227="","",SUMIFS('Repeat Detail'!$K$6:$K$1005,'Repeat Detail'!$A$6:$A$1005,"Daily",'Repeat Detail'!$B$6:$B$1005,$A227))</x:f>
      </x:c>
      <x:c r="E227" s="20" t="str">
        <x:f>IF($A227="","",SUMIFS('Repeat Detail'!$L$6:$L$1005,'Repeat Detail'!$A$6:$A$1005,"Daily",'Repeat Detail'!$B$6:$B$1005,$A227))</x:f>
      </x:c>
      <x:c r="F227" s="22" t="str">
        <x:f>IF(A227="","",IF(D227=0,"n.a.",E227/D227))</x:f>
      </x:c>
      <x:c r="G227" s="20" t="str">
        <x:f>IF($A227="","",SUMIFS('Repeat Detail'!$M$6:$M$1005,'Repeat Detail'!$A$6:$A$1005,"Daily",'Repeat Detail'!$B$6:$B$1005,$A227))</x:f>
      </x:c>
      <x:c r="H227" s="22" t="str">
        <x:f>IF(A227="","",IF(C227=0,"n.a.",G227/C227))</x:f>
      </x:c>
      <x:c r="I227" s="20" t="str">
        <x:f>IF($A227="","",SUMIFS('Repeat Detail'!$N$6:$N$1005,'Repeat Detail'!$A$6:$A$1005,"Daily",'Repeat Detail'!$B$6:$B$1005,$A227))</x:f>
      </x:c>
      <x:c r="J227" s="20" t="str">
        <x:f>IF(A227="","",B227-C227)</x:f>
      </x:c>
    </x:row>
    <x:row r="228">
      <x:c r="A228" s="12" t="str">
        <x:f>IF(A227="","",IF(A227+1&gt;IF(AND(COUNTIF('Repeat Detail'!$A$6:$A$1005,"Quality")=21,COUNTIF('Repeat Detail'!$A$6:$A$1005,"Menu")=12,COUNTIF('Repeat Detail'!$A$6:$A$1005,"Daily")=SUMIFS('Repeat Detail'!$O$6:$O$1005,'Repeat Detail'!$A$6:$A$1005,"Quality",'Repeat Detail'!$H$6:$H$1005,"Date span")),SUMIFS('Repeat Detail'!$O$6:$O$1005,'Repeat Detail'!$A$6:$A$1005,"Quality",'Repeat Detail'!$H$6:$H$1005,"Last date"),NA()),"",A227+1))</x:f>
      </x:c>
      <x:c r="B228" s="20" t="str">
        <x:f>IF($A228="","",SUMIFS('Repeat Detail'!$I$6:$I$1005,'Repeat Detail'!$A$6:$A$1005,"Daily",'Repeat Detail'!$B$6:$B$1005,$A228))</x:f>
      </x:c>
      <x:c r="C228" s="20" t="str">
        <x:f>IF($A228="","",SUMIFS('Repeat Detail'!$J$6:$J$1005,'Repeat Detail'!$A$6:$A$1005,"Daily",'Repeat Detail'!$B$6:$B$1005,$A228))</x:f>
      </x:c>
      <x:c r="D228" s="20" t="str">
        <x:f>IF($A228="","",SUMIFS('Repeat Detail'!$K$6:$K$1005,'Repeat Detail'!$A$6:$A$1005,"Daily",'Repeat Detail'!$B$6:$B$1005,$A228))</x:f>
      </x:c>
      <x:c r="E228" s="20" t="str">
        <x:f>IF($A228="","",SUMIFS('Repeat Detail'!$L$6:$L$1005,'Repeat Detail'!$A$6:$A$1005,"Daily",'Repeat Detail'!$B$6:$B$1005,$A228))</x:f>
      </x:c>
      <x:c r="F228" s="22" t="str">
        <x:f>IF(A228="","",IF(D228=0,"n.a.",E228/D228))</x:f>
      </x:c>
      <x:c r="G228" s="20" t="str">
        <x:f>IF($A228="","",SUMIFS('Repeat Detail'!$M$6:$M$1005,'Repeat Detail'!$A$6:$A$1005,"Daily",'Repeat Detail'!$B$6:$B$1005,$A228))</x:f>
      </x:c>
      <x:c r="H228" s="22" t="str">
        <x:f>IF(A228="","",IF(C228=0,"n.a.",G228/C228))</x:f>
      </x:c>
      <x:c r="I228" s="20" t="str">
        <x:f>IF($A228="","",SUMIFS('Repeat Detail'!$N$6:$N$1005,'Repeat Detail'!$A$6:$A$1005,"Daily",'Repeat Detail'!$B$6:$B$1005,$A228))</x:f>
      </x:c>
      <x:c r="J228" s="20" t="str">
        <x:f>IF(A228="","",B228-C228)</x:f>
      </x:c>
    </x:row>
    <x:row r="229">
      <x:c r="A229" s="12" t="str">
        <x:f>IF(A228="","",IF(A228+1&gt;IF(AND(COUNTIF('Repeat Detail'!$A$6:$A$1005,"Quality")=21,COUNTIF('Repeat Detail'!$A$6:$A$1005,"Menu")=12,COUNTIF('Repeat Detail'!$A$6:$A$1005,"Daily")=SUMIFS('Repeat Detail'!$O$6:$O$1005,'Repeat Detail'!$A$6:$A$1005,"Quality",'Repeat Detail'!$H$6:$H$1005,"Date span")),SUMIFS('Repeat Detail'!$O$6:$O$1005,'Repeat Detail'!$A$6:$A$1005,"Quality",'Repeat Detail'!$H$6:$H$1005,"Last date"),NA()),"",A228+1))</x:f>
      </x:c>
      <x:c r="B229" s="20" t="str">
        <x:f>IF($A229="","",SUMIFS('Repeat Detail'!$I$6:$I$1005,'Repeat Detail'!$A$6:$A$1005,"Daily",'Repeat Detail'!$B$6:$B$1005,$A229))</x:f>
      </x:c>
      <x:c r="C229" s="20" t="str">
        <x:f>IF($A229="","",SUMIFS('Repeat Detail'!$J$6:$J$1005,'Repeat Detail'!$A$6:$A$1005,"Daily",'Repeat Detail'!$B$6:$B$1005,$A229))</x:f>
      </x:c>
      <x:c r="D229" s="20" t="str">
        <x:f>IF($A229="","",SUMIFS('Repeat Detail'!$K$6:$K$1005,'Repeat Detail'!$A$6:$A$1005,"Daily",'Repeat Detail'!$B$6:$B$1005,$A229))</x:f>
      </x:c>
      <x:c r="E229" s="20" t="str">
        <x:f>IF($A229="","",SUMIFS('Repeat Detail'!$L$6:$L$1005,'Repeat Detail'!$A$6:$A$1005,"Daily",'Repeat Detail'!$B$6:$B$1005,$A229))</x:f>
      </x:c>
      <x:c r="F229" s="22" t="str">
        <x:f>IF(A229="","",IF(D229=0,"n.a.",E229/D229))</x:f>
      </x:c>
      <x:c r="G229" s="20" t="str">
        <x:f>IF($A229="","",SUMIFS('Repeat Detail'!$M$6:$M$1005,'Repeat Detail'!$A$6:$A$1005,"Daily",'Repeat Detail'!$B$6:$B$1005,$A229))</x:f>
      </x:c>
      <x:c r="H229" s="22" t="str">
        <x:f>IF(A229="","",IF(C229=0,"n.a.",G229/C229))</x:f>
      </x:c>
      <x:c r="I229" s="20" t="str">
        <x:f>IF($A229="","",SUMIFS('Repeat Detail'!$N$6:$N$1005,'Repeat Detail'!$A$6:$A$1005,"Daily",'Repeat Detail'!$B$6:$B$1005,$A229))</x:f>
      </x:c>
      <x:c r="J229" s="20" t="str">
        <x:f>IF(A229="","",B229-C229)</x:f>
      </x:c>
    </x:row>
    <x:row r="230">
      <x:c r="A230" s="12" t="str">
        <x:f>IF(A229="","",IF(A229+1&gt;IF(AND(COUNTIF('Repeat Detail'!$A$6:$A$1005,"Quality")=21,COUNTIF('Repeat Detail'!$A$6:$A$1005,"Menu")=12,COUNTIF('Repeat Detail'!$A$6:$A$1005,"Daily")=SUMIFS('Repeat Detail'!$O$6:$O$1005,'Repeat Detail'!$A$6:$A$1005,"Quality",'Repeat Detail'!$H$6:$H$1005,"Date span")),SUMIFS('Repeat Detail'!$O$6:$O$1005,'Repeat Detail'!$A$6:$A$1005,"Quality",'Repeat Detail'!$H$6:$H$1005,"Last date"),NA()),"",A229+1))</x:f>
      </x:c>
      <x:c r="B230" s="20" t="str">
        <x:f>IF($A230="","",SUMIFS('Repeat Detail'!$I$6:$I$1005,'Repeat Detail'!$A$6:$A$1005,"Daily",'Repeat Detail'!$B$6:$B$1005,$A230))</x:f>
      </x:c>
      <x:c r="C230" s="20" t="str">
        <x:f>IF($A230="","",SUMIFS('Repeat Detail'!$J$6:$J$1005,'Repeat Detail'!$A$6:$A$1005,"Daily",'Repeat Detail'!$B$6:$B$1005,$A230))</x:f>
      </x:c>
      <x:c r="D230" s="20" t="str">
        <x:f>IF($A230="","",SUMIFS('Repeat Detail'!$K$6:$K$1005,'Repeat Detail'!$A$6:$A$1005,"Daily",'Repeat Detail'!$B$6:$B$1005,$A230))</x:f>
      </x:c>
      <x:c r="E230" s="20" t="str">
        <x:f>IF($A230="","",SUMIFS('Repeat Detail'!$L$6:$L$1005,'Repeat Detail'!$A$6:$A$1005,"Daily",'Repeat Detail'!$B$6:$B$1005,$A230))</x:f>
      </x:c>
      <x:c r="F230" s="22" t="str">
        <x:f>IF(A230="","",IF(D230=0,"n.a.",E230/D230))</x:f>
      </x:c>
      <x:c r="G230" s="20" t="str">
        <x:f>IF($A230="","",SUMIFS('Repeat Detail'!$M$6:$M$1005,'Repeat Detail'!$A$6:$A$1005,"Daily",'Repeat Detail'!$B$6:$B$1005,$A230))</x:f>
      </x:c>
      <x:c r="H230" s="22" t="str">
        <x:f>IF(A230="","",IF(C230=0,"n.a.",G230/C230))</x:f>
      </x:c>
      <x:c r="I230" s="20" t="str">
        <x:f>IF($A230="","",SUMIFS('Repeat Detail'!$N$6:$N$1005,'Repeat Detail'!$A$6:$A$1005,"Daily",'Repeat Detail'!$B$6:$B$1005,$A230))</x:f>
      </x:c>
      <x:c r="J230" s="20" t="str">
        <x:f>IF(A230="","",B230-C230)</x:f>
      </x:c>
    </x:row>
    <x:row r="231">
      <x:c r="A231" s="12" t="str">
        <x:f>IF(A230="","",IF(A230+1&gt;IF(AND(COUNTIF('Repeat Detail'!$A$6:$A$1005,"Quality")=21,COUNTIF('Repeat Detail'!$A$6:$A$1005,"Menu")=12,COUNTIF('Repeat Detail'!$A$6:$A$1005,"Daily")=SUMIFS('Repeat Detail'!$O$6:$O$1005,'Repeat Detail'!$A$6:$A$1005,"Quality",'Repeat Detail'!$H$6:$H$1005,"Date span")),SUMIFS('Repeat Detail'!$O$6:$O$1005,'Repeat Detail'!$A$6:$A$1005,"Quality",'Repeat Detail'!$H$6:$H$1005,"Last date"),NA()),"",A230+1))</x:f>
      </x:c>
      <x:c r="B231" s="20" t="str">
        <x:f>IF($A231="","",SUMIFS('Repeat Detail'!$I$6:$I$1005,'Repeat Detail'!$A$6:$A$1005,"Daily",'Repeat Detail'!$B$6:$B$1005,$A231))</x:f>
      </x:c>
      <x:c r="C231" s="20" t="str">
        <x:f>IF($A231="","",SUMIFS('Repeat Detail'!$J$6:$J$1005,'Repeat Detail'!$A$6:$A$1005,"Daily",'Repeat Detail'!$B$6:$B$1005,$A231))</x:f>
      </x:c>
      <x:c r="D231" s="20" t="str">
        <x:f>IF($A231="","",SUMIFS('Repeat Detail'!$K$6:$K$1005,'Repeat Detail'!$A$6:$A$1005,"Daily",'Repeat Detail'!$B$6:$B$1005,$A231))</x:f>
      </x:c>
      <x:c r="E231" s="20" t="str">
        <x:f>IF($A231="","",SUMIFS('Repeat Detail'!$L$6:$L$1005,'Repeat Detail'!$A$6:$A$1005,"Daily",'Repeat Detail'!$B$6:$B$1005,$A231))</x:f>
      </x:c>
      <x:c r="F231" s="22" t="str">
        <x:f>IF(A231="","",IF(D231=0,"n.a.",E231/D231))</x:f>
      </x:c>
      <x:c r="G231" s="20" t="str">
        <x:f>IF($A231="","",SUMIFS('Repeat Detail'!$M$6:$M$1005,'Repeat Detail'!$A$6:$A$1005,"Daily",'Repeat Detail'!$B$6:$B$1005,$A231))</x:f>
      </x:c>
      <x:c r="H231" s="22" t="str">
        <x:f>IF(A231="","",IF(C231=0,"n.a.",G231/C231))</x:f>
      </x:c>
      <x:c r="I231" s="20" t="str">
        <x:f>IF($A231="","",SUMIFS('Repeat Detail'!$N$6:$N$1005,'Repeat Detail'!$A$6:$A$1005,"Daily",'Repeat Detail'!$B$6:$B$1005,$A231))</x:f>
      </x:c>
      <x:c r="J231" s="20" t="str">
        <x:f>IF(A231="","",B231-C231)</x:f>
      </x:c>
    </x:row>
    <x:row r="232">
      <x:c r="A232" s="12" t="str">
        <x:f>IF(A231="","",IF(A231+1&gt;IF(AND(COUNTIF('Repeat Detail'!$A$6:$A$1005,"Quality")=21,COUNTIF('Repeat Detail'!$A$6:$A$1005,"Menu")=12,COUNTIF('Repeat Detail'!$A$6:$A$1005,"Daily")=SUMIFS('Repeat Detail'!$O$6:$O$1005,'Repeat Detail'!$A$6:$A$1005,"Quality",'Repeat Detail'!$H$6:$H$1005,"Date span")),SUMIFS('Repeat Detail'!$O$6:$O$1005,'Repeat Detail'!$A$6:$A$1005,"Quality",'Repeat Detail'!$H$6:$H$1005,"Last date"),NA()),"",A231+1))</x:f>
      </x:c>
      <x:c r="B232" s="20" t="str">
        <x:f>IF($A232="","",SUMIFS('Repeat Detail'!$I$6:$I$1005,'Repeat Detail'!$A$6:$A$1005,"Daily",'Repeat Detail'!$B$6:$B$1005,$A232))</x:f>
      </x:c>
      <x:c r="C232" s="20" t="str">
        <x:f>IF($A232="","",SUMIFS('Repeat Detail'!$J$6:$J$1005,'Repeat Detail'!$A$6:$A$1005,"Daily",'Repeat Detail'!$B$6:$B$1005,$A232))</x:f>
      </x:c>
      <x:c r="D232" s="20" t="str">
        <x:f>IF($A232="","",SUMIFS('Repeat Detail'!$K$6:$K$1005,'Repeat Detail'!$A$6:$A$1005,"Daily",'Repeat Detail'!$B$6:$B$1005,$A232))</x:f>
      </x:c>
      <x:c r="E232" s="20" t="str">
        <x:f>IF($A232="","",SUMIFS('Repeat Detail'!$L$6:$L$1005,'Repeat Detail'!$A$6:$A$1005,"Daily",'Repeat Detail'!$B$6:$B$1005,$A232))</x:f>
      </x:c>
      <x:c r="F232" s="22" t="str">
        <x:f>IF(A232="","",IF(D232=0,"n.a.",E232/D232))</x:f>
      </x:c>
      <x:c r="G232" s="20" t="str">
        <x:f>IF($A232="","",SUMIFS('Repeat Detail'!$M$6:$M$1005,'Repeat Detail'!$A$6:$A$1005,"Daily",'Repeat Detail'!$B$6:$B$1005,$A232))</x:f>
      </x:c>
      <x:c r="H232" s="22" t="str">
        <x:f>IF(A232="","",IF(C232=0,"n.a.",G232/C232))</x:f>
      </x:c>
      <x:c r="I232" s="20" t="str">
        <x:f>IF($A232="","",SUMIFS('Repeat Detail'!$N$6:$N$1005,'Repeat Detail'!$A$6:$A$1005,"Daily",'Repeat Detail'!$B$6:$B$1005,$A232))</x:f>
      </x:c>
      <x:c r="J232" s="20" t="str">
        <x:f>IF(A232="","",B232-C232)</x:f>
      </x:c>
    </x:row>
    <x:row r="233">
      <x:c r="A233" s="12" t="str">
        <x:f>IF(A232="","",IF(A232+1&gt;IF(AND(COUNTIF('Repeat Detail'!$A$6:$A$1005,"Quality")=21,COUNTIF('Repeat Detail'!$A$6:$A$1005,"Menu")=12,COUNTIF('Repeat Detail'!$A$6:$A$1005,"Daily")=SUMIFS('Repeat Detail'!$O$6:$O$1005,'Repeat Detail'!$A$6:$A$1005,"Quality",'Repeat Detail'!$H$6:$H$1005,"Date span")),SUMIFS('Repeat Detail'!$O$6:$O$1005,'Repeat Detail'!$A$6:$A$1005,"Quality",'Repeat Detail'!$H$6:$H$1005,"Last date"),NA()),"",A232+1))</x:f>
      </x:c>
      <x:c r="B233" s="20" t="str">
        <x:f>IF($A233="","",SUMIFS('Repeat Detail'!$I$6:$I$1005,'Repeat Detail'!$A$6:$A$1005,"Daily",'Repeat Detail'!$B$6:$B$1005,$A233))</x:f>
      </x:c>
      <x:c r="C233" s="20" t="str">
        <x:f>IF($A233="","",SUMIFS('Repeat Detail'!$J$6:$J$1005,'Repeat Detail'!$A$6:$A$1005,"Daily",'Repeat Detail'!$B$6:$B$1005,$A233))</x:f>
      </x:c>
      <x:c r="D233" s="20" t="str">
        <x:f>IF($A233="","",SUMIFS('Repeat Detail'!$K$6:$K$1005,'Repeat Detail'!$A$6:$A$1005,"Daily",'Repeat Detail'!$B$6:$B$1005,$A233))</x:f>
      </x:c>
      <x:c r="E233" s="20" t="str">
        <x:f>IF($A233="","",SUMIFS('Repeat Detail'!$L$6:$L$1005,'Repeat Detail'!$A$6:$A$1005,"Daily",'Repeat Detail'!$B$6:$B$1005,$A233))</x:f>
      </x:c>
      <x:c r="F233" s="22" t="str">
        <x:f>IF(A233="","",IF(D233=0,"n.a.",E233/D233))</x:f>
      </x:c>
      <x:c r="G233" s="20" t="str">
        <x:f>IF($A233="","",SUMIFS('Repeat Detail'!$M$6:$M$1005,'Repeat Detail'!$A$6:$A$1005,"Daily",'Repeat Detail'!$B$6:$B$1005,$A233))</x:f>
      </x:c>
      <x:c r="H233" s="22" t="str">
        <x:f>IF(A233="","",IF(C233=0,"n.a.",G233/C233))</x:f>
      </x:c>
      <x:c r="I233" s="20" t="str">
        <x:f>IF($A233="","",SUMIFS('Repeat Detail'!$N$6:$N$1005,'Repeat Detail'!$A$6:$A$1005,"Daily",'Repeat Detail'!$B$6:$B$1005,$A233))</x:f>
      </x:c>
      <x:c r="J233" s="20" t="str">
        <x:f>IF(A233="","",B233-C233)</x:f>
      </x:c>
    </x:row>
    <x:row r="234">
      <x:c r="A234" s="12" t="str">
        <x:f>IF(A233="","",IF(A233+1&gt;IF(AND(COUNTIF('Repeat Detail'!$A$6:$A$1005,"Quality")=21,COUNTIF('Repeat Detail'!$A$6:$A$1005,"Menu")=12,COUNTIF('Repeat Detail'!$A$6:$A$1005,"Daily")=SUMIFS('Repeat Detail'!$O$6:$O$1005,'Repeat Detail'!$A$6:$A$1005,"Quality",'Repeat Detail'!$H$6:$H$1005,"Date span")),SUMIFS('Repeat Detail'!$O$6:$O$1005,'Repeat Detail'!$A$6:$A$1005,"Quality",'Repeat Detail'!$H$6:$H$1005,"Last date"),NA()),"",A233+1))</x:f>
      </x:c>
      <x:c r="B234" s="20" t="str">
        <x:f>IF($A234="","",SUMIFS('Repeat Detail'!$I$6:$I$1005,'Repeat Detail'!$A$6:$A$1005,"Daily",'Repeat Detail'!$B$6:$B$1005,$A234))</x:f>
      </x:c>
      <x:c r="C234" s="20" t="str">
        <x:f>IF($A234="","",SUMIFS('Repeat Detail'!$J$6:$J$1005,'Repeat Detail'!$A$6:$A$1005,"Daily",'Repeat Detail'!$B$6:$B$1005,$A234))</x:f>
      </x:c>
      <x:c r="D234" s="20" t="str">
        <x:f>IF($A234="","",SUMIFS('Repeat Detail'!$K$6:$K$1005,'Repeat Detail'!$A$6:$A$1005,"Daily",'Repeat Detail'!$B$6:$B$1005,$A234))</x:f>
      </x:c>
      <x:c r="E234" s="20" t="str">
        <x:f>IF($A234="","",SUMIFS('Repeat Detail'!$L$6:$L$1005,'Repeat Detail'!$A$6:$A$1005,"Daily",'Repeat Detail'!$B$6:$B$1005,$A234))</x:f>
      </x:c>
      <x:c r="F234" s="22" t="str">
        <x:f>IF(A234="","",IF(D234=0,"n.a.",E234/D234))</x:f>
      </x:c>
      <x:c r="G234" s="20" t="str">
        <x:f>IF($A234="","",SUMIFS('Repeat Detail'!$M$6:$M$1005,'Repeat Detail'!$A$6:$A$1005,"Daily",'Repeat Detail'!$B$6:$B$1005,$A234))</x:f>
      </x:c>
      <x:c r="H234" s="22" t="str">
        <x:f>IF(A234="","",IF(C234=0,"n.a.",G234/C234))</x:f>
      </x:c>
      <x:c r="I234" s="20" t="str">
        <x:f>IF($A234="","",SUMIFS('Repeat Detail'!$N$6:$N$1005,'Repeat Detail'!$A$6:$A$1005,"Daily",'Repeat Detail'!$B$6:$B$1005,$A234))</x:f>
      </x:c>
      <x:c r="J234" s="20" t="str">
        <x:f>IF(A234="","",B234-C234)</x:f>
      </x:c>
    </x:row>
    <x:row r="235">
      <x:c r="A235" s="12" t="str">
        <x:f>IF(A234="","",IF(A234+1&gt;IF(AND(COUNTIF('Repeat Detail'!$A$6:$A$1005,"Quality")=21,COUNTIF('Repeat Detail'!$A$6:$A$1005,"Menu")=12,COUNTIF('Repeat Detail'!$A$6:$A$1005,"Daily")=SUMIFS('Repeat Detail'!$O$6:$O$1005,'Repeat Detail'!$A$6:$A$1005,"Quality",'Repeat Detail'!$H$6:$H$1005,"Date span")),SUMIFS('Repeat Detail'!$O$6:$O$1005,'Repeat Detail'!$A$6:$A$1005,"Quality",'Repeat Detail'!$H$6:$H$1005,"Last date"),NA()),"",A234+1))</x:f>
      </x:c>
      <x:c r="B235" s="20" t="str">
        <x:f>IF($A235="","",SUMIFS('Repeat Detail'!$I$6:$I$1005,'Repeat Detail'!$A$6:$A$1005,"Daily",'Repeat Detail'!$B$6:$B$1005,$A235))</x:f>
      </x:c>
      <x:c r="C235" s="20" t="str">
        <x:f>IF($A235="","",SUMIFS('Repeat Detail'!$J$6:$J$1005,'Repeat Detail'!$A$6:$A$1005,"Daily",'Repeat Detail'!$B$6:$B$1005,$A235))</x:f>
      </x:c>
      <x:c r="D235" s="20" t="str">
        <x:f>IF($A235="","",SUMIFS('Repeat Detail'!$K$6:$K$1005,'Repeat Detail'!$A$6:$A$1005,"Daily",'Repeat Detail'!$B$6:$B$1005,$A235))</x:f>
      </x:c>
      <x:c r="E235" s="20" t="str">
        <x:f>IF($A235="","",SUMIFS('Repeat Detail'!$L$6:$L$1005,'Repeat Detail'!$A$6:$A$1005,"Daily",'Repeat Detail'!$B$6:$B$1005,$A235))</x:f>
      </x:c>
      <x:c r="F235" s="22" t="str">
        <x:f>IF(A235="","",IF(D235=0,"n.a.",E235/D235))</x:f>
      </x:c>
      <x:c r="G235" s="20" t="str">
        <x:f>IF($A235="","",SUMIFS('Repeat Detail'!$M$6:$M$1005,'Repeat Detail'!$A$6:$A$1005,"Daily",'Repeat Detail'!$B$6:$B$1005,$A235))</x:f>
      </x:c>
      <x:c r="H235" s="22" t="str">
        <x:f>IF(A235="","",IF(C235=0,"n.a.",G235/C235))</x:f>
      </x:c>
      <x:c r="I235" s="20" t="str">
        <x:f>IF($A235="","",SUMIFS('Repeat Detail'!$N$6:$N$1005,'Repeat Detail'!$A$6:$A$1005,"Daily",'Repeat Detail'!$B$6:$B$1005,$A235))</x:f>
      </x:c>
      <x:c r="J235" s="20" t="str">
        <x:f>IF(A235="","",B235-C235)</x:f>
      </x:c>
    </x:row>
    <x:row r="236">
      <x:c r="A236" s="12" t="str">
        <x:f>IF(A235="","",IF(A235+1&gt;IF(AND(COUNTIF('Repeat Detail'!$A$6:$A$1005,"Quality")=21,COUNTIF('Repeat Detail'!$A$6:$A$1005,"Menu")=12,COUNTIF('Repeat Detail'!$A$6:$A$1005,"Daily")=SUMIFS('Repeat Detail'!$O$6:$O$1005,'Repeat Detail'!$A$6:$A$1005,"Quality",'Repeat Detail'!$H$6:$H$1005,"Date span")),SUMIFS('Repeat Detail'!$O$6:$O$1005,'Repeat Detail'!$A$6:$A$1005,"Quality",'Repeat Detail'!$H$6:$H$1005,"Last date"),NA()),"",A235+1))</x:f>
      </x:c>
      <x:c r="B236" s="20" t="str">
        <x:f>IF($A236="","",SUMIFS('Repeat Detail'!$I$6:$I$1005,'Repeat Detail'!$A$6:$A$1005,"Daily",'Repeat Detail'!$B$6:$B$1005,$A236))</x:f>
      </x:c>
      <x:c r="C236" s="20" t="str">
        <x:f>IF($A236="","",SUMIFS('Repeat Detail'!$J$6:$J$1005,'Repeat Detail'!$A$6:$A$1005,"Daily",'Repeat Detail'!$B$6:$B$1005,$A236))</x:f>
      </x:c>
      <x:c r="D236" s="20" t="str">
        <x:f>IF($A236="","",SUMIFS('Repeat Detail'!$K$6:$K$1005,'Repeat Detail'!$A$6:$A$1005,"Daily",'Repeat Detail'!$B$6:$B$1005,$A236))</x:f>
      </x:c>
      <x:c r="E236" s="20" t="str">
        <x:f>IF($A236="","",SUMIFS('Repeat Detail'!$L$6:$L$1005,'Repeat Detail'!$A$6:$A$1005,"Daily",'Repeat Detail'!$B$6:$B$1005,$A236))</x:f>
      </x:c>
      <x:c r="F236" s="22" t="str">
        <x:f>IF(A236="","",IF(D236=0,"n.a.",E236/D236))</x:f>
      </x:c>
      <x:c r="G236" s="20" t="str">
        <x:f>IF($A236="","",SUMIFS('Repeat Detail'!$M$6:$M$1005,'Repeat Detail'!$A$6:$A$1005,"Daily",'Repeat Detail'!$B$6:$B$1005,$A236))</x:f>
      </x:c>
      <x:c r="H236" s="22" t="str">
        <x:f>IF(A236="","",IF(C236=0,"n.a.",G236/C236))</x:f>
      </x:c>
      <x:c r="I236" s="20" t="str">
        <x:f>IF($A236="","",SUMIFS('Repeat Detail'!$N$6:$N$1005,'Repeat Detail'!$A$6:$A$1005,"Daily",'Repeat Detail'!$B$6:$B$1005,$A236))</x:f>
      </x:c>
      <x:c r="J236" s="20" t="str">
        <x:f>IF(A236="","",B236-C236)</x:f>
      </x:c>
    </x:row>
    <x:row r="237">
      <x:c r="A237" s="12" t="str">
        <x:f>IF(A236="","",IF(A236+1&gt;IF(AND(COUNTIF('Repeat Detail'!$A$6:$A$1005,"Quality")=21,COUNTIF('Repeat Detail'!$A$6:$A$1005,"Menu")=12,COUNTIF('Repeat Detail'!$A$6:$A$1005,"Daily")=SUMIFS('Repeat Detail'!$O$6:$O$1005,'Repeat Detail'!$A$6:$A$1005,"Quality",'Repeat Detail'!$H$6:$H$1005,"Date span")),SUMIFS('Repeat Detail'!$O$6:$O$1005,'Repeat Detail'!$A$6:$A$1005,"Quality",'Repeat Detail'!$H$6:$H$1005,"Last date"),NA()),"",A236+1))</x:f>
      </x:c>
      <x:c r="B237" s="20" t="str">
        <x:f>IF($A237="","",SUMIFS('Repeat Detail'!$I$6:$I$1005,'Repeat Detail'!$A$6:$A$1005,"Daily",'Repeat Detail'!$B$6:$B$1005,$A237))</x:f>
      </x:c>
      <x:c r="C237" s="20" t="str">
        <x:f>IF($A237="","",SUMIFS('Repeat Detail'!$J$6:$J$1005,'Repeat Detail'!$A$6:$A$1005,"Daily",'Repeat Detail'!$B$6:$B$1005,$A237))</x:f>
      </x:c>
      <x:c r="D237" s="20" t="str">
        <x:f>IF($A237="","",SUMIFS('Repeat Detail'!$K$6:$K$1005,'Repeat Detail'!$A$6:$A$1005,"Daily",'Repeat Detail'!$B$6:$B$1005,$A237))</x:f>
      </x:c>
      <x:c r="E237" s="20" t="str">
        <x:f>IF($A237="","",SUMIFS('Repeat Detail'!$L$6:$L$1005,'Repeat Detail'!$A$6:$A$1005,"Daily",'Repeat Detail'!$B$6:$B$1005,$A237))</x:f>
      </x:c>
      <x:c r="F237" s="22" t="str">
        <x:f>IF(A237="","",IF(D237=0,"n.a.",E237/D237))</x:f>
      </x:c>
      <x:c r="G237" s="20" t="str">
        <x:f>IF($A237="","",SUMIFS('Repeat Detail'!$M$6:$M$1005,'Repeat Detail'!$A$6:$A$1005,"Daily",'Repeat Detail'!$B$6:$B$1005,$A237))</x:f>
      </x:c>
      <x:c r="H237" s="22" t="str">
        <x:f>IF(A237="","",IF(C237=0,"n.a.",G237/C237))</x:f>
      </x:c>
      <x:c r="I237" s="20" t="str">
        <x:f>IF($A237="","",SUMIFS('Repeat Detail'!$N$6:$N$1005,'Repeat Detail'!$A$6:$A$1005,"Daily",'Repeat Detail'!$B$6:$B$1005,$A237))</x:f>
      </x:c>
      <x:c r="J237" s="20" t="str">
        <x:f>IF(A237="","",B237-C237)</x:f>
      </x:c>
    </x:row>
    <x:row r="238">
      <x:c r="A238" s="12" t="str">
        <x:f>IF(A237="","",IF(A237+1&gt;IF(AND(COUNTIF('Repeat Detail'!$A$6:$A$1005,"Quality")=21,COUNTIF('Repeat Detail'!$A$6:$A$1005,"Menu")=12,COUNTIF('Repeat Detail'!$A$6:$A$1005,"Daily")=SUMIFS('Repeat Detail'!$O$6:$O$1005,'Repeat Detail'!$A$6:$A$1005,"Quality",'Repeat Detail'!$H$6:$H$1005,"Date span")),SUMIFS('Repeat Detail'!$O$6:$O$1005,'Repeat Detail'!$A$6:$A$1005,"Quality",'Repeat Detail'!$H$6:$H$1005,"Last date"),NA()),"",A237+1))</x:f>
      </x:c>
      <x:c r="B238" s="20" t="str">
        <x:f>IF($A238="","",SUMIFS('Repeat Detail'!$I$6:$I$1005,'Repeat Detail'!$A$6:$A$1005,"Daily",'Repeat Detail'!$B$6:$B$1005,$A238))</x:f>
      </x:c>
      <x:c r="C238" s="20" t="str">
        <x:f>IF($A238="","",SUMIFS('Repeat Detail'!$J$6:$J$1005,'Repeat Detail'!$A$6:$A$1005,"Daily",'Repeat Detail'!$B$6:$B$1005,$A238))</x:f>
      </x:c>
      <x:c r="D238" s="20" t="str">
        <x:f>IF($A238="","",SUMIFS('Repeat Detail'!$K$6:$K$1005,'Repeat Detail'!$A$6:$A$1005,"Daily",'Repeat Detail'!$B$6:$B$1005,$A238))</x:f>
      </x:c>
      <x:c r="E238" s="20" t="str">
        <x:f>IF($A238="","",SUMIFS('Repeat Detail'!$L$6:$L$1005,'Repeat Detail'!$A$6:$A$1005,"Daily",'Repeat Detail'!$B$6:$B$1005,$A238))</x:f>
      </x:c>
      <x:c r="F238" s="22" t="str">
        <x:f>IF(A238="","",IF(D238=0,"n.a.",E238/D238))</x:f>
      </x:c>
      <x:c r="G238" s="20" t="str">
        <x:f>IF($A238="","",SUMIFS('Repeat Detail'!$M$6:$M$1005,'Repeat Detail'!$A$6:$A$1005,"Daily",'Repeat Detail'!$B$6:$B$1005,$A238))</x:f>
      </x:c>
      <x:c r="H238" s="22" t="str">
        <x:f>IF(A238="","",IF(C238=0,"n.a.",G238/C238))</x:f>
      </x:c>
      <x:c r="I238" s="20" t="str">
        <x:f>IF($A238="","",SUMIFS('Repeat Detail'!$N$6:$N$1005,'Repeat Detail'!$A$6:$A$1005,"Daily",'Repeat Detail'!$B$6:$B$1005,$A238))</x:f>
      </x:c>
      <x:c r="J238" s="20" t="str">
        <x:f>IF(A238="","",B238-C238)</x:f>
      </x:c>
    </x:row>
    <x:row r="239">
      <x:c r="A239" s="12" t="str">
        <x:f>IF(A238="","",IF(A238+1&gt;IF(AND(COUNTIF('Repeat Detail'!$A$6:$A$1005,"Quality")=21,COUNTIF('Repeat Detail'!$A$6:$A$1005,"Menu")=12,COUNTIF('Repeat Detail'!$A$6:$A$1005,"Daily")=SUMIFS('Repeat Detail'!$O$6:$O$1005,'Repeat Detail'!$A$6:$A$1005,"Quality",'Repeat Detail'!$H$6:$H$1005,"Date span")),SUMIFS('Repeat Detail'!$O$6:$O$1005,'Repeat Detail'!$A$6:$A$1005,"Quality",'Repeat Detail'!$H$6:$H$1005,"Last date"),NA()),"",A238+1))</x:f>
      </x:c>
      <x:c r="B239" s="20" t="str">
        <x:f>IF($A239="","",SUMIFS('Repeat Detail'!$I$6:$I$1005,'Repeat Detail'!$A$6:$A$1005,"Daily",'Repeat Detail'!$B$6:$B$1005,$A239))</x:f>
      </x:c>
      <x:c r="C239" s="20" t="str">
        <x:f>IF($A239="","",SUMIFS('Repeat Detail'!$J$6:$J$1005,'Repeat Detail'!$A$6:$A$1005,"Daily",'Repeat Detail'!$B$6:$B$1005,$A239))</x:f>
      </x:c>
      <x:c r="D239" s="20" t="str">
        <x:f>IF($A239="","",SUMIFS('Repeat Detail'!$K$6:$K$1005,'Repeat Detail'!$A$6:$A$1005,"Daily",'Repeat Detail'!$B$6:$B$1005,$A239))</x:f>
      </x:c>
      <x:c r="E239" s="20" t="str">
        <x:f>IF($A239="","",SUMIFS('Repeat Detail'!$L$6:$L$1005,'Repeat Detail'!$A$6:$A$1005,"Daily",'Repeat Detail'!$B$6:$B$1005,$A239))</x:f>
      </x:c>
      <x:c r="F239" s="22" t="str">
        <x:f>IF(A239="","",IF(D239=0,"n.a.",E239/D239))</x:f>
      </x:c>
      <x:c r="G239" s="20" t="str">
        <x:f>IF($A239="","",SUMIFS('Repeat Detail'!$M$6:$M$1005,'Repeat Detail'!$A$6:$A$1005,"Daily",'Repeat Detail'!$B$6:$B$1005,$A239))</x:f>
      </x:c>
      <x:c r="H239" s="22" t="str">
        <x:f>IF(A239="","",IF(C239=0,"n.a.",G239/C239))</x:f>
      </x:c>
      <x:c r="I239" s="20" t="str">
        <x:f>IF($A239="","",SUMIFS('Repeat Detail'!$N$6:$N$1005,'Repeat Detail'!$A$6:$A$1005,"Daily",'Repeat Detail'!$B$6:$B$1005,$A239))</x:f>
      </x:c>
      <x:c r="J239" s="20" t="str">
        <x:f>IF(A239="","",B239-C239)</x:f>
      </x:c>
    </x:row>
    <x:row r="240">
      <x:c r="A240" s="12" t="str">
        <x:f>IF(A239="","",IF(A239+1&gt;IF(AND(COUNTIF('Repeat Detail'!$A$6:$A$1005,"Quality")=21,COUNTIF('Repeat Detail'!$A$6:$A$1005,"Menu")=12,COUNTIF('Repeat Detail'!$A$6:$A$1005,"Daily")=SUMIFS('Repeat Detail'!$O$6:$O$1005,'Repeat Detail'!$A$6:$A$1005,"Quality",'Repeat Detail'!$H$6:$H$1005,"Date span")),SUMIFS('Repeat Detail'!$O$6:$O$1005,'Repeat Detail'!$A$6:$A$1005,"Quality",'Repeat Detail'!$H$6:$H$1005,"Last date"),NA()),"",A239+1))</x:f>
      </x:c>
      <x:c r="B240" s="20" t="str">
        <x:f>IF($A240="","",SUMIFS('Repeat Detail'!$I$6:$I$1005,'Repeat Detail'!$A$6:$A$1005,"Daily",'Repeat Detail'!$B$6:$B$1005,$A240))</x:f>
      </x:c>
      <x:c r="C240" s="20" t="str">
        <x:f>IF($A240="","",SUMIFS('Repeat Detail'!$J$6:$J$1005,'Repeat Detail'!$A$6:$A$1005,"Daily",'Repeat Detail'!$B$6:$B$1005,$A240))</x:f>
      </x:c>
      <x:c r="D240" s="20" t="str">
        <x:f>IF($A240="","",SUMIFS('Repeat Detail'!$K$6:$K$1005,'Repeat Detail'!$A$6:$A$1005,"Daily",'Repeat Detail'!$B$6:$B$1005,$A240))</x:f>
      </x:c>
      <x:c r="E240" s="20" t="str">
        <x:f>IF($A240="","",SUMIFS('Repeat Detail'!$L$6:$L$1005,'Repeat Detail'!$A$6:$A$1005,"Daily",'Repeat Detail'!$B$6:$B$1005,$A240))</x:f>
      </x:c>
      <x:c r="F240" s="22" t="str">
        <x:f>IF(A240="","",IF(D240=0,"n.a.",E240/D240))</x:f>
      </x:c>
      <x:c r="G240" s="20" t="str">
        <x:f>IF($A240="","",SUMIFS('Repeat Detail'!$M$6:$M$1005,'Repeat Detail'!$A$6:$A$1005,"Daily",'Repeat Detail'!$B$6:$B$1005,$A240))</x:f>
      </x:c>
      <x:c r="H240" s="22" t="str">
        <x:f>IF(A240="","",IF(C240=0,"n.a.",G240/C240))</x:f>
      </x:c>
      <x:c r="I240" s="20" t="str">
        <x:f>IF($A240="","",SUMIFS('Repeat Detail'!$N$6:$N$1005,'Repeat Detail'!$A$6:$A$1005,"Daily",'Repeat Detail'!$B$6:$B$1005,$A240))</x:f>
      </x:c>
      <x:c r="J240" s="20" t="str">
        <x:f>IF(A240="","",B240-C240)</x:f>
      </x:c>
    </x:row>
    <x:row r="241">
      <x:c r="A241" s="12" t="str">
        <x:f>IF(A240="","",IF(A240+1&gt;IF(AND(COUNTIF('Repeat Detail'!$A$6:$A$1005,"Quality")=21,COUNTIF('Repeat Detail'!$A$6:$A$1005,"Menu")=12,COUNTIF('Repeat Detail'!$A$6:$A$1005,"Daily")=SUMIFS('Repeat Detail'!$O$6:$O$1005,'Repeat Detail'!$A$6:$A$1005,"Quality",'Repeat Detail'!$H$6:$H$1005,"Date span")),SUMIFS('Repeat Detail'!$O$6:$O$1005,'Repeat Detail'!$A$6:$A$1005,"Quality",'Repeat Detail'!$H$6:$H$1005,"Last date"),NA()),"",A240+1))</x:f>
      </x:c>
      <x:c r="B241" s="20" t="str">
        <x:f>IF($A241="","",SUMIFS('Repeat Detail'!$I$6:$I$1005,'Repeat Detail'!$A$6:$A$1005,"Daily",'Repeat Detail'!$B$6:$B$1005,$A241))</x:f>
      </x:c>
      <x:c r="C241" s="20" t="str">
        <x:f>IF($A241="","",SUMIFS('Repeat Detail'!$J$6:$J$1005,'Repeat Detail'!$A$6:$A$1005,"Daily",'Repeat Detail'!$B$6:$B$1005,$A241))</x:f>
      </x:c>
      <x:c r="D241" s="20" t="str">
        <x:f>IF($A241="","",SUMIFS('Repeat Detail'!$K$6:$K$1005,'Repeat Detail'!$A$6:$A$1005,"Daily",'Repeat Detail'!$B$6:$B$1005,$A241))</x:f>
      </x:c>
      <x:c r="E241" s="20" t="str">
        <x:f>IF($A241="","",SUMIFS('Repeat Detail'!$L$6:$L$1005,'Repeat Detail'!$A$6:$A$1005,"Daily",'Repeat Detail'!$B$6:$B$1005,$A241))</x:f>
      </x:c>
      <x:c r="F241" s="22" t="str">
        <x:f>IF(A241="","",IF(D241=0,"n.a.",E241/D241))</x:f>
      </x:c>
      <x:c r="G241" s="20" t="str">
        <x:f>IF($A241="","",SUMIFS('Repeat Detail'!$M$6:$M$1005,'Repeat Detail'!$A$6:$A$1005,"Daily",'Repeat Detail'!$B$6:$B$1005,$A241))</x:f>
      </x:c>
      <x:c r="H241" s="22" t="str">
        <x:f>IF(A241="","",IF(C241=0,"n.a.",G241/C241))</x:f>
      </x:c>
      <x:c r="I241" s="20" t="str">
        <x:f>IF($A241="","",SUMIFS('Repeat Detail'!$N$6:$N$1005,'Repeat Detail'!$A$6:$A$1005,"Daily",'Repeat Detail'!$B$6:$B$1005,$A241))</x:f>
      </x:c>
      <x:c r="J241" s="20" t="str">
        <x:f>IF(A241="","",B241-C241)</x:f>
      </x:c>
    </x:row>
    <x:row r="242">
      <x:c r="A242" s="12" t="str">
        <x:f>IF(A241="","",IF(A241+1&gt;IF(AND(COUNTIF('Repeat Detail'!$A$6:$A$1005,"Quality")=21,COUNTIF('Repeat Detail'!$A$6:$A$1005,"Menu")=12,COUNTIF('Repeat Detail'!$A$6:$A$1005,"Daily")=SUMIFS('Repeat Detail'!$O$6:$O$1005,'Repeat Detail'!$A$6:$A$1005,"Quality",'Repeat Detail'!$H$6:$H$1005,"Date span")),SUMIFS('Repeat Detail'!$O$6:$O$1005,'Repeat Detail'!$A$6:$A$1005,"Quality",'Repeat Detail'!$H$6:$H$1005,"Last date"),NA()),"",A241+1))</x:f>
      </x:c>
      <x:c r="B242" s="20" t="str">
        <x:f>IF($A242="","",SUMIFS('Repeat Detail'!$I$6:$I$1005,'Repeat Detail'!$A$6:$A$1005,"Daily",'Repeat Detail'!$B$6:$B$1005,$A242))</x:f>
      </x:c>
      <x:c r="C242" s="20" t="str">
        <x:f>IF($A242="","",SUMIFS('Repeat Detail'!$J$6:$J$1005,'Repeat Detail'!$A$6:$A$1005,"Daily",'Repeat Detail'!$B$6:$B$1005,$A242))</x:f>
      </x:c>
      <x:c r="D242" s="20" t="str">
        <x:f>IF($A242="","",SUMIFS('Repeat Detail'!$K$6:$K$1005,'Repeat Detail'!$A$6:$A$1005,"Daily",'Repeat Detail'!$B$6:$B$1005,$A242))</x:f>
      </x:c>
      <x:c r="E242" s="20" t="str">
        <x:f>IF($A242="","",SUMIFS('Repeat Detail'!$L$6:$L$1005,'Repeat Detail'!$A$6:$A$1005,"Daily",'Repeat Detail'!$B$6:$B$1005,$A242))</x:f>
      </x:c>
      <x:c r="F242" s="22" t="str">
        <x:f>IF(A242="","",IF(D242=0,"n.a.",E242/D242))</x:f>
      </x:c>
      <x:c r="G242" s="20" t="str">
        <x:f>IF($A242="","",SUMIFS('Repeat Detail'!$M$6:$M$1005,'Repeat Detail'!$A$6:$A$1005,"Daily",'Repeat Detail'!$B$6:$B$1005,$A242))</x:f>
      </x:c>
      <x:c r="H242" s="22" t="str">
        <x:f>IF(A242="","",IF(C242=0,"n.a.",G242/C242))</x:f>
      </x:c>
      <x:c r="I242" s="20" t="str">
        <x:f>IF($A242="","",SUMIFS('Repeat Detail'!$N$6:$N$1005,'Repeat Detail'!$A$6:$A$1005,"Daily",'Repeat Detail'!$B$6:$B$1005,$A242))</x:f>
      </x:c>
      <x:c r="J242" s="20" t="str">
        <x:f>IF(A242="","",B242-C242)</x:f>
      </x:c>
    </x:row>
    <x:row r="243">
      <x:c r="A243" s="12" t="str">
        <x:f>IF(A242="","",IF(A242+1&gt;IF(AND(COUNTIF('Repeat Detail'!$A$6:$A$1005,"Quality")=21,COUNTIF('Repeat Detail'!$A$6:$A$1005,"Menu")=12,COUNTIF('Repeat Detail'!$A$6:$A$1005,"Daily")=SUMIFS('Repeat Detail'!$O$6:$O$1005,'Repeat Detail'!$A$6:$A$1005,"Quality",'Repeat Detail'!$H$6:$H$1005,"Date span")),SUMIFS('Repeat Detail'!$O$6:$O$1005,'Repeat Detail'!$A$6:$A$1005,"Quality",'Repeat Detail'!$H$6:$H$1005,"Last date"),NA()),"",A242+1))</x:f>
      </x:c>
      <x:c r="B243" s="20" t="str">
        <x:f>IF($A243="","",SUMIFS('Repeat Detail'!$I$6:$I$1005,'Repeat Detail'!$A$6:$A$1005,"Daily",'Repeat Detail'!$B$6:$B$1005,$A243))</x:f>
      </x:c>
      <x:c r="C243" s="20" t="str">
        <x:f>IF($A243="","",SUMIFS('Repeat Detail'!$J$6:$J$1005,'Repeat Detail'!$A$6:$A$1005,"Daily",'Repeat Detail'!$B$6:$B$1005,$A243))</x:f>
      </x:c>
      <x:c r="D243" s="20" t="str">
        <x:f>IF($A243="","",SUMIFS('Repeat Detail'!$K$6:$K$1005,'Repeat Detail'!$A$6:$A$1005,"Daily",'Repeat Detail'!$B$6:$B$1005,$A243))</x:f>
      </x:c>
      <x:c r="E243" s="20" t="str">
        <x:f>IF($A243="","",SUMIFS('Repeat Detail'!$L$6:$L$1005,'Repeat Detail'!$A$6:$A$1005,"Daily",'Repeat Detail'!$B$6:$B$1005,$A243))</x:f>
      </x:c>
      <x:c r="F243" s="22" t="str">
        <x:f>IF(A243="","",IF(D243=0,"n.a.",E243/D243))</x:f>
      </x:c>
      <x:c r="G243" s="20" t="str">
        <x:f>IF($A243="","",SUMIFS('Repeat Detail'!$M$6:$M$1005,'Repeat Detail'!$A$6:$A$1005,"Daily",'Repeat Detail'!$B$6:$B$1005,$A243))</x:f>
      </x:c>
      <x:c r="H243" s="22" t="str">
        <x:f>IF(A243="","",IF(C243=0,"n.a.",G243/C243))</x:f>
      </x:c>
      <x:c r="I243" s="20" t="str">
        <x:f>IF($A243="","",SUMIFS('Repeat Detail'!$N$6:$N$1005,'Repeat Detail'!$A$6:$A$1005,"Daily",'Repeat Detail'!$B$6:$B$1005,$A243))</x:f>
      </x:c>
      <x:c r="J243" s="20" t="str">
        <x:f>IF(A243="","",B243-C243)</x:f>
      </x:c>
    </x:row>
    <x:row r="244">
      <x:c r="A244" s="12" t="str">
        <x:f>IF(A243="","",IF(A243+1&gt;IF(AND(COUNTIF('Repeat Detail'!$A$6:$A$1005,"Quality")=21,COUNTIF('Repeat Detail'!$A$6:$A$1005,"Menu")=12,COUNTIF('Repeat Detail'!$A$6:$A$1005,"Daily")=SUMIFS('Repeat Detail'!$O$6:$O$1005,'Repeat Detail'!$A$6:$A$1005,"Quality",'Repeat Detail'!$H$6:$H$1005,"Date span")),SUMIFS('Repeat Detail'!$O$6:$O$1005,'Repeat Detail'!$A$6:$A$1005,"Quality",'Repeat Detail'!$H$6:$H$1005,"Last date"),NA()),"",A243+1))</x:f>
      </x:c>
      <x:c r="B244" s="20" t="str">
        <x:f>IF($A244="","",SUMIFS('Repeat Detail'!$I$6:$I$1005,'Repeat Detail'!$A$6:$A$1005,"Daily",'Repeat Detail'!$B$6:$B$1005,$A244))</x:f>
      </x:c>
      <x:c r="C244" s="20" t="str">
        <x:f>IF($A244="","",SUMIFS('Repeat Detail'!$J$6:$J$1005,'Repeat Detail'!$A$6:$A$1005,"Daily",'Repeat Detail'!$B$6:$B$1005,$A244))</x:f>
      </x:c>
      <x:c r="D244" s="20" t="str">
        <x:f>IF($A244="","",SUMIFS('Repeat Detail'!$K$6:$K$1005,'Repeat Detail'!$A$6:$A$1005,"Daily",'Repeat Detail'!$B$6:$B$1005,$A244))</x:f>
      </x:c>
      <x:c r="E244" s="20" t="str">
        <x:f>IF($A244="","",SUMIFS('Repeat Detail'!$L$6:$L$1005,'Repeat Detail'!$A$6:$A$1005,"Daily",'Repeat Detail'!$B$6:$B$1005,$A244))</x:f>
      </x:c>
      <x:c r="F244" s="22" t="str">
        <x:f>IF(A244="","",IF(D244=0,"n.a.",E244/D244))</x:f>
      </x:c>
      <x:c r="G244" s="20" t="str">
        <x:f>IF($A244="","",SUMIFS('Repeat Detail'!$M$6:$M$1005,'Repeat Detail'!$A$6:$A$1005,"Daily",'Repeat Detail'!$B$6:$B$1005,$A244))</x:f>
      </x:c>
      <x:c r="H244" s="22" t="str">
        <x:f>IF(A244="","",IF(C244=0,"n.a.",G244/C244))</x:f>
      </x:c>
      <x:c r="I244" s="20" t="str">
        <x:f>IF($A244="","",SUMIFS('Repeat Detail'!$N$6:$N$1005,'Repeat Detail'!$A$6:$A$1005,"Daily",'Repeat Detail'!$B$6:$B$1005,$A244))</x:f>
      </x:c>
      <x:c r="J244" s="20" t="str">
        <x:f>IF(A244="","",B244-C244)</x:f>
      </x:c>
    </x:row>
    <x:row r="245">
      <x:c r="A245" s="12" t="str">
        <x:f>IF(A244="","",IF(A244+1&gt;IF(AND(COUNTIF('Repeat Detail'!$A$6:$A$1005,"Quality")=21,COUNTIF('Repeat Detail'!$A$6:$A$1005,"Menu")=12,COUNTIF('Repeat Detail'!$A$6:$A$1005,"Daily")=SUMIFS('Repeat Detail'!$O$6:$O$1005,'Repeat Detail'!$A$6:$A$1005,"Quality",'Repeat Detail'!$H$6:$H$1005,"Date span")),SUMIFS('Repeat Detail'!$O$6:$O$1005,'Repeat Detail'!$A$6:$A$1005,"Quality",'Repeat Detail'!$H$6:$H$1005,"Last date"),NA()),"",A244+1))</x:f>
      </x:c>
      <x:c r="B245" s="20" t="str">
        <x:f>IF($A245="","",SUMIFS('Repeat Detail'!$I$6:$I$1005,'Repeat Detail'!$A$6:$A$1005,"Daily",'Repeat Detail'!$B$6:$B$1005,$A245))</x:f>
      </x:c>
      <x:c r="C245" s="20" t="str">
        <x:f>IF($A245="","",SUMIFS('Repeat Detail'!$J$6:$J$1005,'Repeat Detail'!$A$6:$A$1005,"Daily",'Repeat Detail'!$B$6:$B$1005,$A245))</x:f>
      </x:c>
      <x:c r="D245" s="20" t="str">
        <x:f>IF($A245="","",SUMIFS('Repeat Detail'!$K$6:$K$1005,'Repeat Detail'!$A$6:$A$1005,"Daily",'Repeat Detail'!$B$6:$B$1005,$A245))</x:f>
      </x:c>
      <x:c r="E245" s="20" t="str">
        <x:f>IF($A245="","",SUMIFS('Repeat Detail'!$L$6:$L$1005,'Repeat Detail'!$A$6:$A$1005,"Daily",'Repeat Detail'!$B$6:$B$1005,$A245))</x:f>
      </x:c>
      <x:c r="F245" s="22" t="str">
        <x:f>IF(A245="","",IF(D245=0,"n.a.",E245/D245))</x:f>
      </x:c>
      <x:c r="G245" s="20" t="str">
        <x:f>IF($A245="","",SUMIFS('Repeat Detail'!$M$6:$M$1005,'Repeat Detail'!$A$6:$A$1005,"Daily",'Repeat Detail'!$B$6:$B$1005,$A245))</x:f>
      </x:c>
      <x:c r="H245" s="22" t="str">
        <x:f>IF(A245="","",IF(C245=0,"n.a.",G245/C245))</x:f>
      </x:c>
      <x:c r="I245" s="20" t="str">
        <x:f>IF($A245="","",SUMIFS('Repeat Detail'!$N$6:$N$1005,'Repeat Detail'!$A$6:$A$1005,"Daily",'Repeat Detail'!$B$6:$B$1005,$A245))</x:f>
      </x:c>
      <x:c r="J245" s="20" t="str">
        <x:f>IF(A245="","",B245-C245)</x:f>
      </x:c>
    </x:row>
    <x:row r="246">
      <x:c r="A246" s="12" t="str">
        <x:f>IF(A245="","",IF(A245+1&gt;IF(AND(COUNTIF('Repeat Detail'!$A$6:$A$1005,"Quality")=21,COUNTIF('Repeat Detail'!$A$6:$A$1005,"Menu")=12,COUNTIF('Repeat Detail'!$A$6:$A$1005,"Daily")=SUMIFS('Repeat Detail'!$O$6:$O$1005,'Repeat Detail'!$A$6:$A$1005,"Quality",'Repeat Detail'!$H$6:$H$1005,"Date span")),SUMIFS('Repeat Detail'!$O$6:$O$1005,'Repeat Detail'!$A$6:$A$1005,"Quality",'Repeat Detail'!$H$6:$H$1005,"Last date"),NA()),"",A245+1))</x:f>
      </x:c>
      <x:c r="B246" s="20" t="str">
        <x:f>IF($A246="","",SUMIFS('Repeat Detail'!$I$6:$I$1005,'Repeat Detail'!$A$6:$A$1005,"Daily",'Repeat Detail'!$B$6:$B$1005,$A246))</x:f>
      </x:c>
      <x:c r="C246" s="20" t="str">
        <x:f>IF($A246="","",SUMIFS('Repeat Detail'!$J$6:$J$1005,'Repeat Detail'!$A$6:$A$1005,"Daily",'Repeat Detail'!$B$6:$B$1005,$A246))</x:f>
      </x:c>
      <x:c r="D246" s="20" t="str">
        <x:f>IF($A246="","",SUMIFS('Repeat Detail'!$K$6:$K$1005,'Repeat Detail'!$A$6:$A$1005,"Daily",'Repeat Detail'!$B$6:$B$1005,$A246))</x:f>
      </x:c>
      <x:c r="E246" s="20" t="str">
        <x:f>IF($A246="","",SUMIFS('Repeat Detail'!$L$6:$L$1005,'Repeat Detail'!$A$6:$A$1005,"Daily",'Repeat Detail'!$B$6:$B$1005,$A246))</x:f>
      </x:c>
      <x:c r="F246" s="22" t="str">
        <x:f>IF(A246="","",IF(D246=0,"n.a.",E246/D246))</x:f>
      </x:c>
      <x:c r="G246" s="20" t="str">
        <x:f>IF($A246="","",SUMIFS('Repeat Detail'!$M$6:$M$1005,'Repeat Detail'!$A$6:$A$1005,"Daily",'Repeat Detail'!$B$6:$B$1005,$A246))</x:f>
      </x:c>
      <x:c r="H246" s="22" t="str">
        <x:f>IF(A246="","",IF(C246=0,"n.a.",G246/C246))</x:f>
      </x:c>
      <x:c r="I246" s="20" t="str">
        <x:f>IF($A246="","",SUMIFS('Repeat Detail'!$N$6:$N$1005,'Repeat Detail'!$A$6:$A$1005,"Daily",'Repeat Detail'!$B$6:$B$1005,$A246))</x:f>
      </x:c>
      <x:c r="J246" s="20" t="str">
        <x:f>IF(A246="","",B246-C246)</x:f>
      </x:c>
    </x:row>
    <x:row r="247">
      <x:c r="A247" s="12" t="str">
        <x:f>IF(A246="","",IF(A246+1&gt;IF(AND(COUNTIF('Repeat Detail'!$A$6:$A$1005,"Quality")=21,COUNTIF('Repeat Detail'!$A$6:$A$1005,"Menu")=12,COUNTIF('Repeat Detail'!$A$6:$A$1005,"Daily")=SUMIFS('Repeat Detail'!$O$6:$O$1005,'Repeat Detail'!$A$6:$A$1005,"Quality",'Repeat Detail'!$H$6:$H$1005,"Date span")),SUMIFS('Repeat Detail'!$O$6:$O$1005,'Repeat Detail'!$A$6:$A$1005,"Quality",'Repeat Detail'!$H$6:$H$1005,"Last date"),NA()),"",A246+1))</x:f>
      </x:c>
      <x:c r="B247" s="20" t="str">
        <x:f>IF($A247="","",SUMIFS('Repeat Detail'!$I$6:$I$1005,'Repeat Detail'!$A$6:$A$1005,"Daily",'Repeat Detail'!$B$6:$B$1005,$A247))</x:f>
      </x:c>
      <x:c r="C247" s="20" t="str">
        <x:f>IF($A247="","",SUMIFS('Repeat Detail'!$J$6:$J$1005,'Repeat Detail'!$A$6:$A$1005,"Daily",'Repeat Detail'!$B$6:$B$1005,$A247))</x:f>
      </x:c>
      <x:c r="D247" s="20" t="str">
        <x:f>IF($A247="","",SUMIFS('Repeat Detail'!$K$6:$K$1005,'Repeat Detail'!$A$6:$A$1005,"Daily",'Repeat Detail'!$B$6:$B$1005,$A247))</x:f>
      </x:c>
      <x:c r="E247" s="20" t="str">
        <x:f>IF($A247="","",SUMIFS('Repeat Detail'!$L$6:$L$1005,'Repeat Detail'!$A$6:$A$1005,"Daily",'Repeat Detail'!$B$6:$B$1005,$A247))</x:f>
      </x:c>
      <x:c r="F247" s="22" t="str">
        <x:f>IF(A247="","",IF(D247=0,"n.a.",E247/D247))</x:f>
      </x:c>
      <x:c r="G247" s="20" t="str">
        <x:f>IF($A247="","",SUMIFS('Repeat Detail'!$M$6:$M$1005,'Repeat Detail'!$A$6:$A$1005,"Daily",'Repeat Detail'!$B$6:$B$1005,$A247))</x:f>
      </x:c>
      <x:c r="H247" s="22" t="str">
        <x:f>IF(A247="","",IF(C247=0,"n.a.",G247/C247))</x:f>
      </x:c>
      <x:c r="I247" s="20" t="str">
        <x:f>IF($A247="","",SUMIFS('Repeat Detail'!$N$6:$N$1005,'Repeat Detail'!$A$6:$A$1005,"Daily",'Repeat Detail'!$B$6:$B$1005,$A247))</x:f>
      </x:c>
      <x:c r="J247" s="20" t="str">
        <x:f>IF(A247="","",B247-C247)</x:f>
      </x:c>
    </x:row>
    <x:row r="248">
      <x:c r="A248" s="12" t="str">
        <x:f>IF(A247="","",IF(A247+1&gt;IF(AND(COUNTIF('Repeat Detail'!$A$6:$A$1005,"Quality")=21,COUNTIF('Repeat Detail'!$A$6:$A$1005,"Menu")=12,COUNTIF('Repeat Detail'!$A$6:$A$1005,"Daily")=SUMIFS('Repeat Detail'!$O$6:$O$1005,'Repeat Detail'!$A$6:$A$1005,"Quality",'Repeat Detail'!$H$6:$H$1005,"Date span")),SUMIFS('Repeat Detail'!$O$6:$O$1005,'Repeat Detail'!$A$6:$A$1005,"Quality",'Repeat Detail'!$H$6:$H$1005,"Last date"),NA()),"",A247+1))</x:f>
      </x:c>
      <x:c r="B248" s="20" t="str">
        <x:f>IF($A248="","",SUMIFS('Repeat Detail'!$I$6:$I$1005,'Repeat Detail'!$A$6:$A$1005,"Daily",'Repeat Detail'!$B$6:$B$1005,$A248))</x:f>
      </x:c>
      <x:c r="C248" s="20" t="str">
        <x:f>IF($A248="","",SUMIFS('Repeat Detail'!$J$6:$J$1005,'Repeat Detail'!$A$6:$A$1005,"Daily",'Repeat Detail'!$B$6:$B$1005,$A248))</x:f>
      </x:c>
      <x:c r="D248" s="20" t="str">
        <x:f>IF($A248="","",SUMIFS('Repeat Detail'!$K$6:$K$1005,'Repeat Detail'!$A$6:$A$1005,"Daily",'Repeat Detail'!$B$6:$B$1005,$A248))</x:f>
      </x:c>
      <x:c r="E248" s="20" t="str">
        <x:f>IF($A248="","",SUMIFS('Repeat Detail'!$L$6:$L$1005,'Repeat Detail'!$A$6:$A$1005,"Daily",'Repeat Detail'!$B$6:$B$1005,$A248))</x:f>
      </x:c>
      <x:c r="F248" s="22" t="str">
        <x:f>IF(A248="","",IF(D248=0,"n.a.",E248/D248))</x:f>
      </x:c>
      <x:c r="G248" s="20" t="str">
        <x:f>IF($A248="","",SUMIFS('Repeat Detail'!$M$6:$M$1005,'Repeat Detail'!$A$6:$A$1005,"Daily",'Repeat Detail'!$B$6:$B$1005,$A248))</x:f>
      </x:c>
      <x:c r="H248" s="22" t="str">
        <x:f>IF(A248="","",IF(C248=0,"n.a.",G248/C248))</x:f>
      </x:c>
      <x:c r="I248" s="20" t="str">
        <x:f>IF($A248="","",SUMIFS('Repeat Detail'!$N$6:$N$1005,'Repeat Detail'!$A$6:$A$1005,"Daily",'Repeat Detail'!$B$6:$B$1005,$A248))</x:f>
      </x:c>
      <x:c r="J248" s="20" t="str">
        <x:f>IF(A248="","",B248-C248)</x:f>
      </x:c>
    </x:row>
    <x:row r="249">
      <x:c r="A249" s="12" t="str">
        <x:f>IF(A248="","",IF(A248+1&gt;IF(AND(COUNTIF('Repeat Detail'!$A$6:$A$1005,"Quality")=21,COUNTIF('Repeat Detail'!$A$6:$A$1005,"Menu")=12,COUNTIF('Repeat Detail'!$A$6:$A$1005,"Daily")=SUMIFS('Repeat Detail'!$O$6:$O$1005,'Repeat Detail'!$A$6:$A$1005,"Quality",'Repeat Detail'!$H$6:$H$1005,"Date span")),SUMIFS('Repeat Detail'!$O$6:$O$1005,'Repeat Detail'!$A$6:$A$1005,"Quality",'Repeat Detail'!$H$6:$H$1005,"Last date"),NA()),"",A248+1))</x:f>
      </x:c>
      <x:c r="B249" s="20" t="str">
        <x:f>IF($A249="","",SUMIFS('Repeat Detail'!$I$6:$I$1005,'Repeat Detail'!$A$6:$A$1005,"Daily",'Repeat Detail'!$B$6:$B$1005,$A249))</x:f>
      </x:c>
      <x:c r="C249" s="20" t="str">
        <x:f>IF($A249="","",SUMIFS('Repeat Detail'!$J$6:$J$1005,'Repeat Detail'!$A$6:$A$1005,"Daily",'Repeat Detail'!$B$6:$B$1005,$A249))</x:f>
      </x:c>
      <x:c r="D249" s="20" t="str">
        <x:f>IF($A249="","",SUMIFS('Repeat Detail'!$K$6:$K$1005,'Repeat Detail'!$A$6:$A$1005,"Daily",'Repeat Detail'!$B$6:$B$1005,$A249))</x:f>
      </x:c>
      <x:c r="E249" s="20" t="str">
        <x:f>IF($A249="","",SUMIFS('Repeat Detail'!$L$6:$L$1005,'Repeat Detail'!$A$6:$A$1005,"Daily",'Repeat Detail'!$B$6:$B$1005,$A249))</x:f>
      </x:c>
      <x:c r="F249" s="22" t="str">
        <x:f>IF(A249="","",IF(D249=0,"n.a.",E249/D249))</x:f>
      </x:c>
      <x:c r="G249" s="20" t="str">
        <x:f>IF($A249="","",SUMIFS('Repeat Detail'!$M$6:$M$1005,'Repeat Detail'!$A$6:$A$1005,"Daily",'Repeat Detail'!$B$6:$B$1005,$A249))</x:f>
      </x:c>
      <x:c r="H249" s="22" t="str">
        <x:f>IF(A249="","",IF(C249=0,"n.a.",G249/C249))</x:f>
      </x:c>
      <x:c r="I249" s="20" t="str">
        <x:f>IF($A249="","",SUMIFS('Repeat Detail'!$N$6:$N$1005,'Repeat Detail'!$A$6:$A$1005,"Daily",'Repeat Detail'!$B$6:$B$1005,$A249))</x:f>
      </x:c>
      <x:c r="J249" s="20" t="str">
        <x:f>IF(A249="","",B249-C249)</x:f>
      </x:c>
    </x:row>
    <x:row r="250">
      <x:c r="A250" s="12" t="str">
        <x:f>IF(A249="","",IF(A249+1&gt;IF(AND(COUNTIF('Repeat Detail'!$A$6:$A$1005,"Quality")=21,COUNTIF('Repeat Detail'!$A$6:$A$1005,"Menu")=12,COUNTIF('Repeat Detail'!$A$6:$A$1005,"Daily")=SUMIFS('Repeat Detail'!$O$6:$O$1005,'Repeat Detail'!$A$6:$A$1005,"Quality",'Repeat Detail'!$H$6:$H$1005,"Date span")),SUMIFS('Repeat Detail'!$O$6:$O$1005,'Repeat Detail'!$A$6:$A$1005,"Quality",'Repeat Detail'!$H$6:$H$1005,"Last date"),NA()),"",A249+1))</x:f>
      </x:c>
      <x:c r="B250" s="20" t="str">
        <x:f>IF($A250="","",SUMIFS('Repeat Detail'!$I$6:$I$1005,'Repeat Detail'!$A$6:$A$1005,"Daily",'Repeat Detail'!$B$6:$B$1005,$A250))</x:f>
      </x:c>
      <x:c r="C250" s="20" t="str">
        <x:f>IF($A250="","",SUMIFS('Repeat Detail'!$J$6:$J$1005,'Repeat Detail'!$A$6:$A$1005,"Daily",'Repeat Detail'!$B$6:$B$1005,$A250))</x:f>
      </x:c>
      <x:c r="D250" s="20" t="str">
        <x:f>IF($A250="","",SUMIFS('Repeat Detail'!$K$6:$K$1005,'Repeat Detail'!$A$6:$A$1005,"Daily",'Repeat Detail'!$B$6:$B$1005,$A250))</x:f>
      </x:c>
      <x:c r="E250" s="20" t="str">
        <x:f>IF($A250="","",SUMIFS('Repeat Detail'!$L$6:$L$1005,'Repeat Detail'!$A$6:$A$1005,"Daily",'Repeat Detail'!$B$6:$B$1005,$A250))</x:f>
      </x:c>
      <x:c r="F250" s="22" t="str">
        <x:f>IF(A250="","",IF(D250=0,"n.a.",E250/D250))</x:f>
      </x:c>
      <x:c r="G250" s="20" t="str">
        <x:f>IF($A250="","",SUMIFS('Repeat Detail'!$M$6:$M$1005,'Repeat Detail'!$A$6:$A$1005,"Daily",'Repeat Detail'!$B$6:$B$1005,$A250))</x:f>
      </x:c>
      <x:c r="H250" s="22" t="str">
        <x:f>IF(A250="","",IF(C250=0,"n.a.",G250/C250))</x:f>
      </x:c>
      <x:c r="I250" s="20" t="str">
        <x:f>IF($A250="","",SUMIFS('Repeat Detail'!$N$6:$N$1005,'Repeat Detail'!$A$6:$A$1005,"Daily",'Repeat Detail'!$B$6:$B$1005,$A250))</x:f>
      </x:c>
      <x:c r="J250" s="20" t="str">
        <x:f>IF(A250="","",B250-C250)</x:f>
      </x:c>
    </x:row>
    <x:row r="251">
      <x:c r="A251" s="12" t="str">
        <x:f>IF(A250="","",IF(A250+1&gt;IF(AND(COUNTIF('Repeat Detail'!$A$6:$A$1005,"Quality")=21,COUNTIF('Repeat Detail'!$A$6:$A$1005,"Menu")=12,COUNTIF('Repeat Detail'!$A$6:$A$1005,"Daily")=SUMIFS('Repeat Detail'!$O$6:$O$1005,'Repeat Detail'!$A$6:$A$1005,"Quality",'Repeat Detail'!$H$6:$H$1005,"Date span")),SUMIFS('Repeat Detail'!$O$6:$O$1005,'Repeat Detail'!$A$6:$A$1005,"Quality",'Repeat Detail'!$H$6:$H$1005,"Last date"),NA()),"",A250+1))</x:f>
      </x:c>
      <x:c r="B251" s="20" t="str">
        <x:f>IF($A251="","",SUMIFS('Repeat Detail'!$I$6:$I$1005,'Repeat Detail'!$A$6:$A$1005,"Daily",'Repeat Detail'!$B$6:$B$1005,$A251))</x:f>
      </x:c>
      <x:c r="C251" s="20" t="str">
        <x:f>IF($A251="","",SUMIFS('Repeat Detail'!$J$6:$J$1005,'Repeat Detail'!$A$6:$A$1005,"Daily",'Repeat Detail'!$B$6:$B$1005,$A251))</x:f>
      </x:c>
      <x:c r="D251" s="20" t="str">
        <x:f>IF($A251="","",SUMIFS('Repeat Detail'!$K$6:$K$1005,'Repeat Detail'!$A$6:$A$1005,"Daily",'Repeat Detail'!$B$6:$B$1005,$A251))</x:f>
      </x:c>
      <x:c r="E251" s="20" t="str">
        <x:f>IF($A251="","",SUMIFS('Repeat Detail'!$L$6:$L$1005,'Repeat Detail'!$A$6:$A$1005,"Daily",'Repeat Detail'!$B$6:$B$1005,$A251))</x:f>
      </x:c>
      <x:c r="F251" s="22" t="str">
        <x:f>IF(A251="","",IF(D251=0,"n.a.",E251/D251))</x:f>
      </x:c>
      <x:c r="G251" s="20" t="str">
        <x:f>IF($A251="","",SUMIFS('Repeat Detail'!$M$6:$M$1005,'Repeat Detail'!$A$6:$A$1005,"Daily",'Repeat Detail'!$B$6:$B$1005,$A251))</x:f>
      </x:c>
      <x:c r="H251" s="22" t="str">
        <x:f>IF(A251="","",IF(C251=0,"n.a.",G251/C251))</x:f>
      </x:c>
      <x:c r="I251" s="20" t="str">
        <x:f>IF($A251="","",SUMIFS('Repeat Detail'!$N$6:$N$1005,'Repeat Detail'!$A$6:$A$1005,"Daily",'Repeat Detail'!$B$6:$B$1005,$A251))</x:f>
      </x:c>
      <x:c r="J251" s="20" t="str">
        <x:f>IF(A251="","",B251-C251)</x:f>
      </x:c>
    </x:row>
    <x:row r="252">
      <x:c r="A252" s="12" t="str">
        <x:f>IF(A251="","",IF(A251+1&gt;IF(AND(COUNTIF('Repeat Detail'!$A$6:$A$1005,"Quality")=21,COUNTIF('Repeat Detail'!$A$6:$A$1005,"Menu")=12,COUNTIF('Repeat Detail'!$A$6:$A$1005,"Daily")=SUMIFS('Repeat Detail'!$O$6:$O$1005,'Repeat Detail'!$A$6:$A$1005,"Quality",'Repeat Detail'!$H$6:$H$1005,"Date span")),SUMIFS('Repeat Detail'!$O$6:$O$1005,'Repeat Detail'!$A$6:$A$1005,"Quality",'Repeat Detail'!$H$6:$H$1005,"Last date"),NA()),"",A251+1))</x:f>
      </x:c>
      <x:c r="B252" s="20" t="str">
        <x:f>IF($A252="","",SUMIFS('Repeat Detail'!$I$6:$I$1005,'Repeat Detail'!$A$6:$A$1005,"Daily",'Repeat Detail'!$B$6:$B$1005,$A252))</x:f>
      </x:c>
      <x:c r="C252" s="20" t="str">
        <x:f>IF($A252="","",SUMIFS('Repeat Detail'!$J$6:$J$1005,'Repeat Detail'!$A$6:$A$1005,"Daily",'Repeat Detail'!$B$6:$B$1005,$A252))</x:f>
      </x:c>
      <x:c r="D252" s="20" t="str">
        <x:f>IF($A252="","",SUMIFS('Repeat Detail'!$K$6:$K$1005,'Repeat Detail'!$A$6:$A$1005,"Daily",'Repeat Detail'!$B$6:$B$1005,$A252))</x:f>
      </x:c>
      <x:c r="E252" s="20" t="str">
        <x:f>IF($A252="","",SUMIFS('Repeat Detail'!$L$6:$L$1005,'Repeat Detail'!$A$6:$A$1005,"Daily",'Repeat Detail'!$B$6:$B$1005,$A252))</x:f>
      </x:c>
      <x:c r="F252" s="22" t="str">
        <x:f>IF(A252="","",IF(D252=0,"n.a.",E252/D252))</x:f>
      </x:c>
      <x:c r="G252" s="20" t="str">
        <x:f>IF($A252="","",SUMIFS('Repeat Detail'!$M$6:$M$1005,'Repeat Detail'!$A$6:$A$1005,"Daily",'Repeat Detail'!$B$6:$B$1005,$A252))</x:f>
      </x:c>
      <x:c r="H252" s="22" t="str">
        <x:f>IF(A252="","",IF(C252=0,"n.a.",G252/C252))</x:f>
      </x:c>
      <x:c r="I252" s="20" t="str">
        <x:f>IF($A252="","",SUMIFS('Repeat Detail'!$N$6:$N$1005,'Repeat Detail'!$A$6:$A$1005,"Daily",'Repeat Detail'!$B$6:$B$1005,$A252))</x:f>
      </x:c>
      <x:c r="J252" s="20" t="str">
        <x:f>IF(A252="","",B252-C252)</x:f>
      </x:c>
    </x:row>
    <x:row r="253">
      <x:c r="A253" s="12" t="str">
        <x:f>IF(A252="","",IF(A252+1&gt;IF(AND(COUNTIF('Repeat Detail'!$A$6:$A$1005,"Quality")=21,COUNTIF('Repeat Detail'!$A$6:$A$1005,"Menu")=12,COUNTIF('Repeat Detail'!$A$6:$A$1005,"Daily")=SUMIFS('Repeat Detail'!$O$6:$O$1005,'Repeat Detail'!$A$6:$A$1005,"Quality",'Repeat Detail'!$H$6:$H$1005,"Date span")),SUMIFS('Repeat Detail'!$O$6:$O$1005,'Repeat Detail'!$A$6:$A$1005,"Quality",'Repeat Detail'!$H$6:$H$1005,"Last date"),NA()),"",A252+1))</x:f>
      </x:c>
      <x:c r="B253" s="20" t="str">
        <x:f>IF($A253="","",SUMIFS('Repeat Detail'!$I$6:$I$1005,'Repeat Detail'!$A$6:$A$1005,"Daily",'Repeat Detail'!$B$6:$B$1005,$A253))</x:f>
      </x:c>
      <x:c r="C253" s="20" t="str">
        <x:f>IF($A253="","",SUMIFS('Repeat Detail'!$J$6:$J$1005,'Repeat Detail'!$A$6:$A$1005,"Daily",'Repeat Detail'!$B$6:$B$1005,$A253))</x:f>
      </x:c>
      <x:c r="D253" s="20" t="str">
        <x:f>IF($A253="","",SUMIFS('Repeat Detail'!$K$6:$K$1005,'Repeat Detail'!$A$6:$A$1005,"Daily",'Repeat Detail'!$B$6:$B$1005,$A253))</x:f>
      </x:c>
      <x:c r="E253" s="20" t="str">
        <x:f>IF($A253="","",SUMIFS('Repeat Detail'!$L$6:$L$1005,'Repeat Detail'!$A$6:$A$1005,"Daily",'Repeat Detail'!$B$6:$B$1005,$A253))</x:f>
      </x:c>
      <x:c r="F253" s="22" t="str">
        <x:f>IF(A253="","",IF(D253=0,"n.a.",E253/D253))</x:f>
      </x:c>
      <x:c r="G253" s="20" t="str">
        <x:f>IF($A253="","",SUMIFS('Repeat Detail'!$M$6:$M$1005,'Repeat Detail'!$A$6:$A$1005,"Daily",'Repeat Detail'!$B$6:$B$1005,$A253))</x:f>
      </x:c>
      <x:c r="H253" s="22" t="str">
        <x:f>IF(A253="","",IF(C253=0,"n.a.",G253/C253))</x:f>
      </x:c>
      <x:c r="I253" s="20" t="str">
        <x:f>IF($A253="","",SUMIFS('Repeat Detail'!$N$6:$N$1005,'Repeat Detail'!$A$6:$A$1005,"Daily",'Repeat Detail'!$B$6:$B$1005,$A253))</x:f>
      </x:c>
      <x:c r="J253" s="20" t="str">
        <x:f>IF(A253="","",B253-C253)</x:f>
      </x:c>
    </x:row>
    <x:row r="254">
      <x:c r="A254" s="12" t="str">
        <x:f>IF(A253="","",IF(A253+1&gt;IF(AND(COUNTIF('Repeat Detail'!$A$6:$A$1005,"Quality")=21,COUNTIF('Repeat Detail'!$A$6:$A$1005,"Menu")=12,COUNTIF('Repeat Detail'!$A$6:$A$1005,"Daily")=SUMIFS('Repeat Detail'!$O$6:$O$1005,'Repeat Detail'!$A$6:$A$1005,"Quality",'Repeat Detail'!$H$6:$H$1005,"Date span")),SUMIFS('Repeat Detail'!$O$6:$O$1005,'Repeat Detail'!$A$6:$A$1005,"Quality",'Repeat Detail'!$H$6:$H$1005,"Last date"),NA()),"",A253+1))</x:f>
      </x:c>
      <x:c r="B254" s="20" t="str">
        <x:f>IF($A254="","",SUMIFS('Repeat Detail'!$I$6:$I$1005,'Repeat Detail'!$A$6:$A$1005,"Daily",'Repeat Detail'!$B$6:$B$1005,$A254))</x:f>
      </x:c>
      <x:c r="C254" s="20" t="str">
        <x:f>IF($A254="","",SUMIFS('Repeat Detail'!$J$6:$J$1005,'Repeat Detail'!$A$6:$A$1005,"Daily",'Repeat Detail'!$B$6:$B$1005,$A254))</x:f>
      </x:c>
      <x:c r="D254" s="20" t="str">
        <x:f>IF($A254="","",SUMIFS('Repeat Detail'!$K$6:$K$1005,'Repeat Detail'!$A$6:$A$1005,"Daily",'Repeat Detail'!$B$6:$B$1005,$A254))</x:f>
      </x:c>
      <x:c r="E254" s="20" t="str">
        <x:f>IF($A254="","",SUMIFS('Repeat Detail'!$L$6:$L$1005,'Repeat Detail'!$A$6:$A$1005,"Daily",'Repeat Detail'!$B$6:$B$1005,$A254))</x:f>
      </x:c>
      <x:c r="F254" s="22" t="str">
        <x:f>IF(A254="","",IF(D254=0,"n.a.",E254/D254))</x:f>
      </x:c>
      <x:c r="G254" s="20" t="str">
        <x:f>IF($A254="","",SUMIFS('Repeat Detail'!$M$6:$M$1005,'Repeat Detail'!$A$6:$A$1005,"Daily",'Repeat Detail'!$B$6:$B$1005,$A254))</x:f>
      </x:c>
      <x:c r="H254" s="22" t="str">
        <x:f>IF(A254="","",IF(C254=0,"n.a.",G254/C254))</x:f>
      </x:c>
      <x:c r="I254" s="20" t="str">
        <x:f>IF($A254="","",SUMIFS('Repeat Detail'!$N$6:$N$1005,'Repeat Detail'!$A$6:$A$1005,"Daily",'Repeat Detail'!$B$6:$B$1005,$A254))</x:f>
      </x:c>
      <x:c r="J254" s="20" t="str">
        <x:f>IF(A254="","",B254-C254)</x:f>
      </x:c>
    </x:row>
    <x:row r="255">
      <x:c r="A255" s="12" t="str">
        <x:f>IF(A254="","",IF(A254+1&gt;IF(AND(COUNTIF('Repeat Detail'!$A$6:$A$1005,"Quality")=21,COUNTIF('Repeat Detail'!$A$6:$A$1005,"Menu")=12,COUNTIF('Repeat Detail'!$A$6:$A$1005,"Daily")=SUMIFS('Repeat Detail'!$O$6:$O$1005,'Repeat Detail'!$A$6:$A$1005,"Quality",'Repeat Detail'!$H$6:$H$1005,"Date span")),SUMIFS('Repeat Detail'!$O$6:$O$1005,'Repeat Detail'!$A$6:$A$1005,"Quality",'Repeat Detail'!$H$6:$H$1005,"Last date"),NA()),"",A254+1))</x:f>
      </x:c>
      <x:c r="B255" s="20" t="str">
        <x:f>IF($A255="","",SUMIFS('Repeat Detail'!$I$6:$I$1005,'Repeat Detail'!$A$6:$A$1005,"Daily",'Repeat Detail'!$B$6:$B$1005,$A255))</x:f>
      </x:c>
      <x:c r="C255" s="20" t="str">
        <x:f>IF($A255="","",SUMIFS('Repeat Detail'!$J$6:$J$1005,'Repeat Detail'!$A$6:$A$1005,"Daily",'Repeat Detail'!$B$6:$B$1005,$A255))</x:f>
      </x:c>
      <x:c r="D255" s="20" t="str">
        <x:f>IF($A255="","",SUMIFS('Repeat Detail'!$K$6:$K$1005,'Repeat Detail'!$A$6:$A$1005,"Daily",'Repeat Detail'!$B$6:$B$1005,$A255))</x:f>
      </x:c>
      <x:c r="E255" s="20" t="str">
        <x:f>IF($A255="","",SUMIFS('Repeat Detail'!$L$6:$L$1005,'Repeat Detail'!$A$6:$A$1005,"Daily",'Repeat Detail'!$B$6:$B$1005,$A255))</x:f>
      </x:c>
      <x:c r="F255" s="22" t="str">
        <x:f>IF(A255="","",IF(D255=0,"n.a.",E255/D255))</x:f>
      </x:c>
      <x:c r="G255" s="20" t="str">
        <x:f>IF($A255="","",SUMIFS('Repeat Detail'!$M$6:$M$1005,'Repeat Detail'!$A$6:$A$1005,"Daily",'Repeat Detail'!$B$6:$B$1005,$A255))</x:f>
      </x:c>
      <x:c r="H255" s="22" t="str">
        <x:f>IF(A255="","",IF(C255=0,"n.a.",G255/C255))</x:f>
      </x:c>
      <x:c r="I255" s="20" t="str">
        <x:f>IF($A255="","",SUMIFS('Repeat Detail'!$N$6:$N$1005,'Repeat Detail'!$A$6:$A$1005,"Daily",'Repeat Detail'!$B$6:$B$1005,$A255))</x:f>
      </x:c>
      <x:c r="J255" s="20" t="str">
        <x:f>IF(A255="","",B255-C255)</x:f>
      </x:c>
    </x:row>
    <x:row r="256">
      <x:c r="A256" s="12" t="str">
        <x:f>IF(A255="","",IF(A255+1&gt;IF(AND(COUNTIF('Repeat Detail'!$A$6:$A$1005,"Quality")=21,COUNTIF('Repeat Detail'!$A$6:$A$1005,"Menu")=12,COUNTIF('Repeat Detail'!$A$6:$A$1005,"Daily")=SUMIFS('Repeat Detail'!$O$6:$O$1005,'Repeat Detail'!$A$6:$A$1005,"Quality",'Repeat Detail'!$H$6:$H$1005,"Date span")),SUMIFS('Repeat Detail'!$O$6:$O$1005,'Repeat Detail'!$A$6:$A$1005,"Quality",'Repeat Detail'!$H$6:$H$1005,"Last date"),NA()),"",A255+1))</x:f>
      </x:c>
      <x:c r="B256" s="20" t="str">
        <x:f>IF($A256="","",SUMIFS('Repeat Detail'!$I$6:$I$1005,'Repeat Detail'!$A$6:$A$1005,"Daily",'Repeat Detail'!$B$6:$B$1005,$A256))</x:f>
      </x:c>
      <x:c r="C256" s="20" t="str">
        <x:f>IF($A256="","",SUMIFS('Repeat Detail'!$J$6:$J$1005,'Repeat Detail'!$A$6:$A$1005,"Daily",'Repeat Detail'!$B$6:$B$1005,$A256))</x:f>
      </x:c>
      <x:c r="D256" s="20" t="str">
        <x:f>IF($A256="","",SUMIFS('Repeat Detail'!$K$6:$K$1005,'Repeat Detail'!$A$6:$A$1005,"Daily",'Repeat Detail'!$B$6:$B$1005,$A256))</x:f>
      </x:c>
      <x:c r="E256" s="20" t="str">
        <x:f>IF($A256="","",SUMIFS('Repeat Detail'!$L$6:$L$1005,'Repeat Detail'!$A$6:$A$1005,"Daily",'Repeat Detail'!$B$6:$B$1005,$A256))</x:f>
      </x:c>
      <x:c r="F256" s="22" t="str">
        <x:f>IF(A256="","",IF(D256=0,"n.a.",E256/D256))</x:f>
      </x:c>
      <x:c r="G256" s="20" t="str">
        <x:f>IF($A256="","",SUMIFS('Repeat Detail'!$M$6:$M$1005,'Repeat Detail'!$A$6:$A$1005,"Daily",'Repeat Detail'!$B$6:$B$1005,$A256))</x:f>
      </x:c>
      <x:c r="H256" s="22" t="str">
        <x:f>IF(A256="","",IF(C256=0,"n.a.",G256/C256))</x:f>
      </x:c>
      <x:c r="I256" s="20" t="str">
        <x:f>IF($A256="","",SUMIFS('Repeat Detail'!$N$6:$N$1005,'Repeat Detail'!$A$6:$A$1005,"Daily",'Repeat Detail'!$B$6:$B$1005,$A256))</x:f>
      </x:c>
      <x:c r="J256" s="20" t="str">
        <x:f>IF(A256="","",B256-C256)</x:f>
      </x:c>
    </x:row>
    <x:row r="257">
      <x:c r="A257" s="12" t="str">
        <x:f>IF(A256="","",IF(A256+1&gt;IF(AND(COUNTIF('Repeat Detail'!$A$6:$A$1005,"Quality")=21,COUNTIF('Repeat Detail'!$A$6:$A$1005,"Menu")=12,COUNTIF('Repeat Detail'!$A$6:$A$1005,"Daily")=SUMIFS('Repeat Detail'!$O$6:$O$1005,'Repeat Detail'!$A$6:$A$1005,"Quality",'Repeat Detail'!$H$6:$H$1005,"Date span")),SUMIFS('Repeat Detail'!$O$6:$O$1005,'Repeat Detail'!$A$6:$A$1005,"Quality",'Repeat Detail'!$H$6:$H$1005,"Last date"),NA()),"",A256+1))</x:f>
      </x:c>
      <x:c r="B257" s="20" t="str">
        <x:f>IF($A257="","",SUMIFS('Repeat Detail'!$I$6:$I$1005,'Repeat Detail'!$A$6:$A$1005,"Daily",'Repeat Detail'!$B$6:$B$1005,$A257))</x:f>
      </x:c>
      <x:c r="C257" s="20" t="str">
        <x:f>IF($A257="","",SUMIFS('Repeat Detail'!$J$6:$J$1005,'Repeat Detail'!$A$6:$A$1005,"Daily",'Repeat Detail'!$B$6:$B$1005,$A257))</x:f>
      </x:c>
      <x:c r="D257" s="20" t="str">
        <x:f>IF($A257="","",SUMIFS('Repeat Detail'!$K$6:$K$1005,'Repeat Detail'!$A$6:$A$1005,"Daily",'Repeat Detail'!$B$6:$B$1005,$A257))</x:f>
      </x:c>
      <x:c r="E257" s="20" t="str">
        <x:f>IF($A257="","",SUMIFS('Repeat Detail'!$L$6:$L$1005,'Repeat Detail'!$A$6:$A$1005,"Daily",'Repeat Detail'!$B$6:$B$1005,$A257))</x:f>
      </x:c>
      <x:c r="F257" s="22" t="str">
        <x:f>IF(A257="","",IF(D257=0,"n.a.",E257/D257))</x:f>
      </x:c>
      <x:c r="G257" s="20" t="str">
        <x:f>IF($A257="","",SUMIFS('Repeat Detail'!$M$6:$M$1005,'Repeat Detail'!$A$6:$A$1005,"Daily",'Repeat Detail'!$B$6:$B$1005,$A257))</x:f>
      </x:c>
      <x:c r="H257" s="22" t="str">
        <x:f>IF(A257="","",IF(C257=0,"n.a.",G257/C257))</x:f>
      </x:c>
      <x:c r="I257" s="20" t="str">
        <x:f>IF($A257="","",SUMIFS('Repeat Detail'!$N$6:$N$1005,'Repeat Detail'!$A$6:$A$1005,"Daily",'Repeat Detail'!$B$6:$B$1005,$A257))</x:f>
      </x:c>
      <x:c r="J257" s="20" t="str">
        <x:f>IF(A257="","",B257-C257)</x:f>
      </x:c>
    </x:row>
    <x:row r="258">
      <x:c r="A258" s="12" t="str">
        <x:f>IF(A257="","",IF(A257+1&gt;IF(AND(COUNTIF('Repeat Detail'!$A$6:$A$1005,"Quality")=21,COUNTIF('Repeat Detail'!$A$6:$A$1005,"Menu")=12,COUNTIF('Repeat Detail'!$A$6:$A$1005,"Daily")=SUMIFS('Repeat Detail'!$O$6:$O$1005,'Repeat Detail'!$A$6:$A$1005,"Quality",'Repeat Detail'!$H$6:$H$1005,"Date span")),SUMIFS('Repeat Detail'!$O$6:$O$1005,'Repeat Detail'!$A$6:$A$1005,"Quality",'Repeat Detail'!$H$6:$H$1005,"Last date"),NA()),"",A257+1))</x:f>
      </x:c>
      <x:c r="B258" s="20" t="str">
        <x:f>IF($A258="","",SUMIFS('Repeat Detail'!$I$6:$I$1005,'Repeat Detail'!$A$6:$A$1005,"Daily",'Repeat Detail'!$B$6:$B$1005,$A258))</x:f>
      </x:c>
      <x:c r="C258" s="20" t="str">
        <x:f>IF($A258="","",SUMIFS('Repeat Detail'!$J$6:$J$1005,'Repeat Detail'!$A$6:$A$1005,"Daily",'Repeat Detail'!$B$6:$B$1005,$A258))</x:f>
      </x:c>
      <x:c r="D258" s="20" t="str">
        <x:f>IF($A258="","",SUMIFS('Repeat Detail'!$K$6:$K$1005,'Repeat Detail'!$A$6:$A$1005,"Daily",'Repeat Detail'!$B$6:$B$1005,$A258))</x:f>
      </x:c>
      <x:c r="E258" s="20" t="str">
        <x:f>IF($A258="","",SUMIFS('Repeat Detail'!$L$6:$L$1005,'Repeat Detail'!$A$6:$A$1005,"Daily",'Repeat Detail'!$B$6:$B$1005,$A258))</x:f>
      </x:c>
      <x:c r="F258" s="22" t="str">
        <x:f>IF(A258="","",IF(D258=0,"n.a.",E258/D258))</x:f>
      </x:c>
      <x:c r="G258" s="20" t="str">
        <x:f>IF($A258="","",SUMIFS('Repeat Detail'!$M$6:$M$1005,'Repeat Detail'!$A$6:$A$1005,"Daily",'Repeat Detail'!$B$6:$B$1005,$A258))</x:f>
      </x:c>
      <x:c r="H258" s="22" t="str">
        <x:f>IF(A258="","",IF(C258=0,"n.a.",G258/C258))</x:f>
      </x:c>
      <x:c r="I258" s="20" t="str">
        <x:f>IF($A258="","",SUMIFS('Repeat Detail'!$N$6:$N$1005,'Repeat Detail'!$A$6:$A$1005,"Daily",'Repeat Detail'!$B$6:$B$1005,$A258))</x:f>
      </x:c>
      <x:c r="J258" s="20" t="str">
        <x:f>IF(A258="","",B258-C258)</x:f>
      </x:c>
    </x:row>
    <x:row r="259">
      <x:c r="A259" s="12" t="str">
        <x:f>IF(A258="","",IF(A258+1&gt;IF(AND(COUNTIF('Repeat Detail'!$A$6:$A$1005,"Quality")=21,COUNTIF('Repeat Detail'!$A$6:$A$1005,"Menu")=12,COUNTIF('Repeat Detail'!$A$6:$A$1005,"Daily")=SUMIFS('Repeat Detail'!$O$6:$O$1005,'Repeat Detail'!$A$6:$A$1005,"Quality",'Repeat Detail'!$H$6:$H$1005,"Date span")),SUMIFS('Repeat Detail'!$O$6:$O$1005,'Repeat Detail'!$A$6:$A$1005,"Quality",'Repeat Detail'!$H$6:$H$1005,"Last date"),NA()),"",A258+1))</x:f>
      </x:c>
      <x:c r="B259" s="20" t="str">
        <x:f>IF($A259="","",SUMIFS('Repeat Detail'!$I$6:$I$1005,'Repeat Detail'!$A$6:$A$1005,"Daily",'Repeat Detail'!$B$6:$B$1005,$A259))</x:f>
      </x:c>
      <x:c r="C259" s="20" t="str">
        <x:f>IF($A259="","",SUMIFS('Repeat Detail'!$J$6:$J$1005,'Repeat Detail'!$A$6:$A$1005,"Daily",'Repeat Detail'!$B$6:$B$1005,$A259))</x:f>
      </x:c>
      <x:c r="D259" s="20" t="str">
        <x:f>IF($A259="","",SUMIFS('Repeat Detail'!$K$6:$K$1005,'Repeat Detail'!$A$6:$A$1005,"Daily",'Repeat Detail'!$B$6:$B$1005,$A259))</x:f>
      </x:c>
      <x:c r="E259" s="20" t="str">
        <x:f>IF($A259="","",SUMIFS('Repeat Detail'!$L$6:$L$1005,'Repeat Detail'!$A$6:$A$1005,"Daily",'Repeat Detail'!$B$6:$B$1005,$A259))</x:f>
      </x:c>
      <x:c r="F259" s="22" t="str">
        <x:f>IF(A259="","",IF(D259=0,"n.a.",E259/D259))</x:f>
      </x:c>
      <x:c r="G259" s="20" t="str">
        <x:f>IF($A259="","",SUMIFS('Repeat Detail'!$M$6:$M$1005,'Repeat Detail'!$A$6:$A$1005,"Daily",'Repeat Detail'!$B$6:$B$1005,$A259))</x:f>
      </x:c>
      <x:c r="H259" s="22" t="str">
        <x:f>IF(A259="","",IF(C259=0,"n.a.",G259/C259))</x:f>
      </x:c>
      <x:c r="I259" s="20" t="str">
        <x:f>IF($A259="","",SUMIFS('Repeat Detail'!$N$6:$N$1005,'Repeat Detail'!$A$6:$A$1005,"Daily",'Repeat Detail'!$B$6:$B$1005,$A259))</x:f>
      </x:c>
      <x:c r="J259" s="20" t="str">
        <x:f>IF(A259="","",B259-C259)</x:f>
      </x:c>
    </x:row>
    <x:row r="260">
      <x:c r="A260" s="12" t="str">
        <x:f>IF(A259="","",IF(A259+1&gt;IF(AND(COUNTIF('Repeat Detail'!$A$6:$A$1005,"Quality")=21,COUNTIF('Repeat Detail'!$A$6:$A$1005,"Menu")=12,COUNTIF('Repeat Detail'!$A$6:$A$1005,"Daily")=SUMIFS('Repeat Detail'!$O$6:$O$1005,'Repeat Detail'!$A$6:$A$1005,"Quality",'Repeat Detail'!$H$6:$H$1005,"Date span")),SUMIFS('Repeat Detail'!$O$6:$O$1005,'Repeat Detail'!$A$6:$A$1005,"Quality",'Repeat Detail'!$H$6:$H$1005,"Last date"),NA()),"",A259+1))</x:f>
      </x:c>
      <x:c r="B260" s="20" t="str">
        <x:f>IF($A260="","",SUMIFS('Repeat Detail'!$I$6:$I$1005,'Repeat Detail'!$A$6:$A$1005,"Daily",'Repeat Detail'!$B$6:$B$1005,$A260))</x:f>
      </x:c>
      <x:c r="C260" s="20" t="str">
        <x:f>IF($A260="","",SUMIFS('Repeat Detail'!$J$6:$J$1005,'Repeat Detail'!$A$6:$A$1005,"Daily",'Repeat Detail'!$B$6:$B$1005,$A260))</x:f>
      </x:c>
      <x:c r="D260" s="20" t="str">
        <x:f>IF($A260="","",SUMIFS('Repeat Detail'!$K$6:$K$1005,'Repeat Detail'!$A$6:$A$1005,"Daily",'Repeat Detail'!$B$6:$B$1005,$A260))</x:f>
      </x:c>
      <x:c r="E260" s="20" t="str">
        <x:f>IF($A260="","",SUMIFS('Repeat Detail'!$L$6:$L$1005,'Repeat Detail'!$A$6:$A$1005,"Daily",'Repeat Detail'!$B$6:$B$1005,$A260))</x:f>
      </x:c>
      <x:c r="F260" s="22" t="str">
        <x:f>IF(A260="","",IF(D260=0,"n.a.",E260/D260))</x:f>
      </x:c>
      <x:c r="G260" s="20" t="str">
        <x:f>IF($A260="","",SUMIFS('Repeat Detail'!$M$6:$M$1005,'Repeat Detail'!$A$6:$A$1005,"Daily",'Repeat Detail'!$B$6:$B$1005,$A260))</x:f>
      </x:c>
      <x:c r="H260" s="22" t="str">
        <x:f>IF(A260="","",IF(C260=0,"n.a.",G260/C260))</x:f>
      </x:c>
      <x:c r="I260" s="20" t="str">
        <x:f>IF($A260="","",SUMIFS('Repeat Detail'!$N$6:$N$1005,'Repeat Detail'!$A$6:$A$1005,"Daily",'Repeat Detail'!$B$6:$B$1005,$A260))</x:f>
      </x:c>
      <x:c r="J260" s="20" t="str">
        <x:f>IF(A260="","",B260-C260)</x:f>
      </x:c>
    </x:row>
    <x:row r="261">
      <x:c r="A261" s="12" t="str">
        <x:f>IF(A260="","",IF(A260+1&gt;IF(AND(COUNTIF('Repeat Detail'!$A$6:$A$1005,"Quality")=21,COUNTIF('Repeat Detail'!$A$6:$A$1005,"Menu")=12,COUNTIF('Repeat Detail'!$A$6:$A$1005,"Daily")=SUMIFS('Repeat Detail'!$O$6:$O$1005,'Repeat Detail'!$A$6:$A$1005,"Quality",'Repeat Detail'!$H$6:$H$1005,"Date span")),SUMIFS('Repeat Detail'!$O$6:$O$1005,'Repeat Detail'!$A$6:$A$1005,"Quality",'Repeat Detail'!$H$6:$H$1005,"Last date"),NA()),"",A260+1))</x:f>
      </x:c>
      <x:c r="B261" s="20" t="str">
        <x:f>IF($A261="","",SUMIFS('Repeat Detail'!$I$6:$I$1005,'Repeat Detail'!$A$6:$A$1005,"Daily",'Repeat Detail'!$B$6:$B$1005,$A261))</x:f>
      </x:c>
      <x:c r="C261" s="20" t="str">
        <x:f>IF($A261="","",SUMIFS('Repeat Detail'!$J$6:$J$1005,'Repeat Detail'!$A$6:$A$1005,"Daily",'Repeat Detail'!$B$6:$B$1005,$A261))</x:f>
      </x:c>
      <x:c r="D261" s="20" t="str">
        <x:f>IF($A261="","",SUMIFS('Repeat Detail'!$K$6:$K$1005,'Repeat Detail'!$A$6:$A$1005,"Daily",'Repeat Detail'!$B$6:$B$1005,$A261))</x:f>
      </x:c>
      <x:c r="E261" s="20" t="str">
        <x:f>IF($A261="","",SUMIFS('Repeat Detail'!$L$6:$L$1005,'Repeat Detail'!$A$6:$A$1005,"Daily",'Repeat Detail'!$B$6:$B$1005,$A261))</x:f>
      </x:c>
      <x:c r="F261" s="22" t="str">
        <x:f>IF(A261="","",IF(D261=0,"n.a.",E261/D261))</x:f>
      </x:c>
      <x:c r="G261" s="20" t="str">
        <x:f>IF($A261="","",SUMIFS('Repeat Detail'!$M$6:$M$1005,'Repeat Detail'!$A$6:$A$1005,"Daily",'Repeat Detail'!$B$6:$B$1005,$A261))</x:f>
      </x:c>
      <x:c r="H261" s="22" t="str">
        <x:f>IF(A261="","",IF(C261=0,"n.a.",G261/C261))</x:f>
      </x:c>
      <x:c r="I261" s="20" t="str">
        <x:f>IF($A261="","",SUMIFS('Repeat Detail'!$N$6:$N$1005,'Repeat Detail'!$A$6:$A$1005,"Daily",'Repeat Detail'!$B$6:$B$1005,$A261))</x:f>
      </x:c>
      <x:c r="J261" s="20" t="str">
        <x:f>IF(A261="","",B261-C261)</x:f>
      </x:c>
    </x:row>
    <x:row r="262">
      <x:c r="A262" s="12" t="str">
        <x:f>IF(A261="","",IF(A261+1&gt;IF(AND(COUNTIF('Repeat Detail'!$A$6:$A$1005,"Quality")=21,COUNTIF('Repeat Detail'!$A$6:$A$1005,"Menu")=12,COUNTIF('Repeat Detail'!$A$6:$A$1005,"Daily")=SUMIFS('Repeat Detail'!$O$6:$O$1005,'Repeat Detail'!$A$6:$A$1005,"Quality",'Repeat Detail'!$H$6:$H$1005,"Date span")),SUMIFS('Repeat Detail'!$O$6:$O$1005,'Repeat Detail'!$A$6:$A$1005,"Quality",'Repeat Detail'!$H$6:$H$1005,"Last date"),NA()),"",A261+1))</x:f>
      </x:c>
      <x:c r="B262" s="20" t="str">
        <x:f>IF($A262="","",SUMIFS('Repeat Detail'!$I$6:$I$1005,'Repeat Detail'!$A$6:$A$1005,"Daily",'Repeat Detail'!$B$6:$B$1005,$A262))</x:f>
      </x:c>
      <x:c r="C262" s="20" t="str">
        <x:f>IF($A262="","",SUMIFS('Repeat Detail'!$J$6:$J$1005,'Repeat Detail'!$A$6:$A$1005,"Daily",'Repeat Detail'!$B$6:$B$1005,$A262))</x:f>
      </x:c>
      <x:c r="D262" s="20" t="str">
        <x:f>IF($A262="","",SUMIFS('Repeat Detail'!$K$6:$K$1005,'Repeat Detail'!$A$6:$A$1005,"Daily",'Repeat Detail'!$B$6:$B$1005,$A262))</x:f>
      </x:c>
      <x:c r="E262" s="20" t="str">
        <x:f>IF($A262="","",SUMIFS('Repeat Detail'!$L$6:$L$1005,'Repeat Detail'!$A$6:$A$1005,"Daily",'Repeat Detail'!$B$6:$B$1005,$A262))</x:f>
      </x:c>
      <x:c r="F262" s="22" t="str">
        <x:f>IF(A262="","",IF(D262=0,"n.a.",E262/D262))</x:f>
      </x:c>
      <x:c r="G262" s="20" t="str">
        <x:f>IF($A262="","",SUMIFS('Repeat Detail'!$M$6:$M$1005,'Repeat Detail'!$A$6:$A$1005,"Daily",'Repeat Detail'!$B$6:$B$1005,$A262))</x:f>
      </x:c>
      <x:c r="H262" s="22" t="str">
        <x:f>IF(A262="","",IF(C262=0,"n.a.",G262/C262))</x:f>
      </x:c>
      <x:c r="I262" s="20" t="str">
        <x:f>IF($A262="","",SUMIFS('Repeat Detail'!$N$6:$N$1005,'Repeat Detail'!$A$6:$A$1005,"Daily",'Repeat Detail'!$B$6:$B$1005,$A262))</x:f>
      </x:c>
      <x:c r="J262" s="20" t="str">
        <x:f>IF(A262="","",B262-C262)</x:f>
      </x:c>
    </x:row>
    <x:row r="263">
      <x:c r="A263" s="12" t="str">
        <x:f>IF(A262="","",IF(A262+1&gt;IF(AND(COUNTIF('Repeat Detail'!$A$6:$A$1005,"Quality")=21,COUNTIF('Repeat Detail'!$A$6:$A$1005,"Menu")=12,COUNTIF('Repeat Detail'!$A$6:$A$1005,"Daily")=SUMIFS('Repeat Detail'!$O$6:$O$1005,'Repeat Detail'!$A$6:$A$1005,"Quality",'Repeat Detail'!$H$6:$H$1005,"Date span")),SUMIFS('Repeat Detail'!$O$6:$O$1005,'Repeat Detail'!$A$6:$A$1005,"Quality",'Repeat Detail'!$H$6:$H$1005,"Last date"),NA()),"",A262+1))</x:f>
      </x:c>
      <x:c r="B263" s="20" t="str">
        <x:f>IF($A263="","",SUMIFS('Repeat Detail'!$I$6:$I$1005,'Repeat Detail'!$A$6:$A$1005,"Daily",'Repeat Detail'!$B$6:$B$1005,$A263))</x:f>
      </x:c>
      <x:c r="C263" s="20" t="str">
        <x:f>IF($A263="","",SUMIFS('Repeat Detail'!$J$6:$J$1005,'Repeat Detail'!$A$6:$A$1005,"Daily",'Repeat Detail'!$B$6:$B$1005,$A263))</x:f>
      </x:c>
      <x:c r="D263" s="20" t="str">
        <x:f>IF($A263="","",SUMIFS('Repeat Detail'!$K$6:$K$1005,'Repeat Detail'!$A$6:$A$1005,"Daily",'Repeat Detail'!$B$6:$B$1005,$A263))</x:f>
      </x:c>
      <x:c r="E263" s="20" t="str">
        <x:f>IF($A263="","",SUMIFS('Repeat Detail'!$L$6:$L$1005,'Repeat Detail'!$A$6:$A$1005,"Daily",'Repeat Detail'!$B$6:$B$1005,$A263))</x:f>
      </x:c>
      <x:c r="F263" s="22" t="str">
        <x:f>IF(A263="","",IF(D263=0,"n.a.",E263/D263))</x:f>
      </x:c>
      <x:c r="G263" s="20" t="str">
        <x:f>IF($A263="","",SUMIFS('Repeat Detail'!$M$6:$M$1005,'Repeat Detail'!$A$6:$A$1005,"Daily",'Repeat Detail'!$B$6:$B$1005,$A263))</x:f>
      </x:c>
      <x:c r="H263" s="22" t="str">
        <x:f>IF(A263="","",IF(C263=0,"n.a.",G263/C263))</x:f>
      </x:c>
      <x:c r="I263" s="20" t="str">
        <x:f>IF($A263="","",SUMIFS('Repeat Detail'!$N$6:$N$1005,'Repeat Detail'!$A$6:$A$1005,"Daily",'Repeat Detail'!$B$6:$B$1005,$A263))</x:f>
      </x:c>
      <x:c r="J263" s="20" t="str">
        <x:f>IF(A263="","",B263-C263)</x:f>
      </x:c>
    </x:row>
    <x:row r="264">
      <x:c r="A264" s="12" t="str">
        <x:f>IF(A263="","",IF(A263+1&gt;IF(AND(COUNTIF('Repeat Detail'!$A$6:$A$1005,"Quality")=21,COUNTIF('Repeat Detail'!$A$6:$A$1005,"Menu")=12,COUNTIF('Repeat Detail'!$A$6:$A$1005,"Daily")=SUMIFS('Repeat Detail'!$O$6:$O$1005,'Repeat Detail'!$A$6:$A$1005,"Quality",'Repeat Detail'!$H$6:$H$1005,"Date span")),SUMIFS('Repeat Detail'!$O$6:$O$1005,'Repeat Detail'!$A$6:$A$1005,"Quality",'Repeat Detail'!$H$6:$H$1005,"Last date"),NA()),"",A263+1))</x:f>
      </x:c>
      <x:c r="B264" s="20" t="str">
        <x:f>IF($A264="","",SUMIFS('Repeat Detail'!$I$6:$I$1005,'Repeat Detail'!$A$6:$A$1005,"Daily",'Repeat Detail'!$B$6:$B$1005,$A264))</x:f>
      </x:c>
      <x:c r="C264" s="20" t="str">
        <x:f>IF($A264="","",SUMIFS('Repeat Detail'!$J$6:$J$1005,'Repeat Detail'!$A$6:$A$1005,"Daily",'Repeat Detail'!$B$6:$B$1005,$A264))</x:f>
      </x:c>
      <x:c r="D264" s="20" t="str">
        <x:f>IF($A264="","",SUMIFS('Repeat Detail'!$K$6:$K$1005,'Repeat Detail'!$A$6:$A$1005,"Daily",'Repeat Detail'!$B$6:$B$1005,$A264))</x:f>
      </x:c>
      <x:c r="E264" s="20" t="str">
        <x:f>IF($A264="","",SUMIFS('Repeat Detail'!$L$6:$L$1005,'Repeat Detail'!$A$6:$A$1005,"Daily",'Repeat Detail'!$B$6:$B$1005,$A264))</x:f>
      </x:c>
      <x:c r="F264" s="22" t="str">
        <x:f>IF(A264="","",IF(D264=0,"n.a.",E264/D264))</x:f>
      </x:c>
      <x:c r="G264" s="20" t="str">
        <x:f>IF($A264="","",SUMIFS('Repeat Detail'!$M$6:$M$1005,'Repeat Detail'!$A$6:$A$1005,"Daily",'Repeat Detail'!$B$6:$B$1005,$A264))</x:f>
      </x:c>
      <x:c r="H264" s="22" t="str">
        <x:f>IF(A264="","",IF(C264=0,"n.a.",G264/C264))</x:f>
      </x:c>
      <x:c r="I264" s="20" t="str">
        <x:f>IF($A264="","",SUMIFS('Repeat Detail'!$N$6:$N$1005,'Repeat Detail'!$A$6:$A$1005,"Daily",'Repeat Detail'!$B$6:$B$1005,$A264))</x:f>
      </x:c>
      <x:c r="J264" s="20" t="str">
        <x:f>IF(A264="","",B264-C264)</x:f>
      </x:c>
    </x:row>
    <x:row r="265">
      <x:c r="A265" s="12" t="str">
        <x:f>IF(A264="","",IF(A264+1&gt;IF(AND(COUNTIF('Repeat Detail'!$A$6:$A$1005,"Quality")=21,COUNTIF('Repeat Detail'!$A$6:$A$1005,"Menu")=12,COUNTIF('Repeat Detail'!$A$6:$A$1005,"Daily")=SUMIFS('Repeat Detail'!$O$6:$O$1005,'Repeat Detail'!$A$6:$A$1005,"Quality",'Repeat Detail'!$H$6:$H$1005,"Date span")),SUMIFS('Repeat Detail'!$O$6:$O$1005,'Repeat Detail'!$A$6:$A$1005,"Quality",'Repeat Detail'!$H$6:$H$1005,"Last date"),NA()),"",A264+1))</x:f>
      </x:c>
      <x:c r="B265" s="20" t="str">
        <x:f>IF($A265="","",SUMIFS('Repeat Detail'!$I$6:$I$1005,'Repeat Detail'!$A$6:$A$1005,"Daily",'Repeat Detail'!$B$6:$B$1005,$A265))</x:f>
      </x:c>
      <x:c r="C265" s="20" t="str">
        <x:f>IF($A265="","",SUMIFS('Repeat Detail'!$J$6:$J$1005,'Repeat Detail'!$A$6:$A$1005,"Daily",'Repeat Detail'!$B$6:$B$1005,$A265))</x:f>
      </x:c>
      <x:c r="D265" s="20" t="str">
        <x:f>IF($A265="","",SUMIFS('Repeat Detail'!$K$6:$K$1005,'Repeat Detail'!$A$6:$A$1005,"Daily",'Repeat Detail'!$B$6:$B$1005,$A265))</x:f>
      </x:c>
      <x:c r="E265" s="20" t="str">
        <x:f>IF($A265="","",SUMIFS('Repeat Detail'!$L$6:$L$1005,'Repeat Detail'!$A$6:$A$1005,"Daily",'Repeat Detail'!$B$6:$B$1005,$A265))</x:f>
      </x:c>
      <x:c r="F265" s="22" t="str">
        <x:f>IF(A265="","",IF(D265=0,"n.a.",E265/D265))</x:f>
      </x:c>
      <x:c r="G265" s="20" t="str">
        <x:f>IF($A265="","",SUMIFS('Repeat Detail'!$M$6:$M$1005,'Repeat Detail'!$A$6:$A$1005,"Daily",'Repeat Detail'!$B$6:$B$1005,$A265))</x:f>
      </x:c>
      <x:c r="H265" s="22" t="str">
        <x:f>IF(A265="","",IF(C265=0,"n.a.",G265/C265))</x:f>
      </x:c>
      <x:c r="I265" s="20" t="str">
        <x:f>IF($A265="","",SUMIFS('Repeat Detail'!$N$6:$N$1005,'Repeat Detail'!$A$6:$A$1005,"Daily",'Repeat Detail'!$B$6:$B$1005,$A265))</x:f>
      </x:c>
      <x:c r="J265" s="20" t="str">
        <x:f>IF(A265="","",B265-C265)</x:f>
      </x:c>
    </x:row>
    <x:row r="266">
      <x:c r="A266" s="12" t="str">
        <x:f>IF(A265="","",IF(A265+1&gt;IF(AND(COUNTIF('Repeat Detail'!$A$6:$A$1005,"Quality")=21,COUNTIF('Repeat Detail'!$A$6:$A$1005,"Menu")=12,COUNTIF('Repeat Detail'!$A$6:$A$1005,"Daily")=SUMIFS('Repeat Detail'!$O$6:$O$1005,'Repeat Detail'!$A$6:$A$1005,"Quality",'Repeat Detail'!$H$6:$H$1005,"Date span")),SUMIFS('Repeat Detail'!$O$6:$O$1005,'Repeat Detail'!$A$6:$A$1005,"Quality",'Repeat Detail'!$H$6:$H$1005,"Last date"),NA()),"",A265+1))</x:f>
      </x:c>
      <x:c r="B266" s="20" t="str">
        <x:f>IF($A266="","",SUMIFS('Repeat Detail'!$I$6:$I$1005,'Repeat Detail'!$A$6:$A$1005,"Daily",'Repeat Detail'!$B$6:$B$1005,$A266))</x:f>
      </x:c>
      <x:c r="C266" s="20" t="str">
        <x:f>IF($A266="","",SUMIFS('Repeat Detail'!$J$6:$J$1005,'Repeat Detail'!$A$6:$A$1005,"Daily",'Repeat Detail'!$B$6:$B$1005,$A266))</x:f>
      </x:c>
      <x:c r="D266" s="20" t="str">
        <x:f>IF($A266="","",SUMIFS('Repeat Detail'!$K$6:$K$1005,'Repeat Detail'!$A$6:$A$1005,"Daily",'Repeat Detail'!$B$6:$B$1005,$A266))</x:f>
      </x:c>
      <x:c r="E266" s="20" t="str">
        <x:f>IF($A266="","",SUMIFS('Repeat Detail'!$L$6:$L$1005,'Repeat Detail'!$A$6:$A$1005,"Daily",'Repeat Detail'!$B$6:$B$1005,$A266))</x:f>
      </x:c>
      <x:c r="F266" s="22" t="str">
        <x:f>IF(A266="","",IF(D266=0,"n.a.",E266/D266))</x:f>
      </x:c>
      <x:c r="G266" s="20" t="str">
        <x:f>IF($A266="","",SUMIFS('Repeat Detail'!$M$6:$M$1005,'Repeat Detail'!$A$6:$A$1005,"Daily",'Repeat Detail'!$B$6:$B$1005,$A266))</x:f>
      </x:c>
      <x:c r="H266" s="22" t="str">
        <x:f>IF(A266="","",IF(C266=0,"n.a.",G266/C266))</x:f>
      </x:c>
      <x:c r="I266" s="20" t="str">
        <x:f>IF($A266="","",SUMIFS('Repeat Detail'!$N$6:$N$1005,'Repeat Detail'!$A$6:$A$1005,"Daily",'Repeat Detail'!$B$6:$B$1005,$A266))</x:f>
      </x:c>
      <x:c r="J266" s="20" t="str">
        <x:f>IF(A266="","",B266-C266)</x:f>
      </x:c>
    </x:row>
    <x:row r="267">
      <x:c r="A267" s="12" t="str">
        <x:f>IF(A266="","",IF(A266+1&gt;IF(AND(COUNTIF('Repeat Detail'!$A$6:$A$1005,"Quality")=21,COUNTIF('Repeat Detail'!$A$6:$A$1005,"Menu")=12,COUNTIF('Repeat Detail'!$A$6:$A$1005,"Daily")=SUMIFS('Repeat Detail'!$O$6:$O$1005,'Repeat Detail'!$A$6:$A$1005,"Quality",'Repeat Detail'!$H$6:$H$1005,"Date span")),SUMIFS('Repeat Detail'!$O$6:$O$1005,'Repeat Detail'!$A$6:$A$1005,"Quality",'Repeat Detail'!$H$6:$H$1005,"Last date"),NA()),"",A266+1))</x:f>
      </x:c>
      <x:c r="B267" s="20" t="str">
        <x:f>IF($A267="","",SUMIFS('Repeat Detail'!$I$6:$I$1005,'Repeat Detail'!$A$6:$A$1005,"Daily",'Repeat Detail'!$B$6:$B$1005,$A267))</x:f>
      </x:c>
      <x:c r="C267" s="20" t="str">
        <x:f>IF($A267="","",SUMIFS('Repeat Detail'!$J$6:$J$1005,'Repeat Detail'!$A$6:$A$1005,"Daily",'Repeat Detail'!$B$6:$B$1005,$A267))</x:f>
      </x:c>
      <x:c r="D267" s="20" t="str">
        <x:f>IF($A267="","",SUMIFS('Repeat Detail'!$K$6:$K$1005,'Repeat Detail'!$A$6:$A$1005,"Daily",'Repeat Detail'!$B$6:$B$1005,$A267))</x:f>
      </x:c>
      <x:c r="E267" s="20" t="str">
        <x:f>IF($A267="","",SUMIFS('Repeat Detail'!$L$6:$L$1005,'Repeat Detail'!$A$6:$A$1005,"Daily",'Repeat Detail'!$B$6:$B$1005,$A267))</x:f>
      </x:c>
      <x:c r="F267" s="22" t="str">
        <x:f>IF(A267="","",IF(D267=0,"n.a.",E267/D267))</x:f>
      </x:c>
      <x:c r="G267" s="20" t="str">
        <x:f>IF($A267="","",SUMIFS('Repeat Detail'!$M$6:$M$1005,'Repeat Detail'!$A$6:$A$1005,"Daily",'Repeat Detail'!$B$6:$B$1005,$A267))</x:f>
      </x:c>
      <x:c r="H267" s="22" t="str">
        <x:f>IF(A267="","",IF(C267=0,"n.a.",G267/C267))</x:f>
      </x:c>
      <x:c r="I267" s="20" t="str">
        <x:f>IF($A267="","",SUMIFS('Repeat Detail'!$N$6:$N$1005,'Repeat Detail'!$A$6:$A$1005,"Daily",'Repeat Detail'!$B$6:$B$1005,$A267))</x:f>
      </x:c>
      <x:c r="J267" s="20" t="str">
        <x:f>IF(A267="","",B267-C267)</x:f>
      </x:c>
    </x:row>
    <x:row r="268">
      <x:c r="A268" s="12" t="str">
        <x:f>IF(A267="","",IF(A267+1&gt;IF(AND(COUNTIF('Repeat Detail'!$A$6:$A$1005,"Quality")=21,COUNTIF('Repeat Detail'!$A$6:$A$1005,"Menu")=12,COUNTIF('Repeat Detail'!$A$6:$A$1005,"Daily")=SUMIFS('Repeat Detail'!$O$6:$O$1005,'Repeat Detail'!$A$6:$A$1005,"Quality",'Repeat Detail'!$H$6:$H$1005,"Date span")),SUMIFS('Repeat Detail'!$O$6:$O$1005,'Repeat Detail'!$A$6:$A$1005,"Quality",'Repeat Detail'!$H$6:$H$1005,"Last date"),NA()),"",A267+1))</x:f>
      </x:c>
      <x:c r="B268" s="20" t="str">
        <x:f>IF($A268="","",SUMIFS('Repeat Detail'!$I$6:$I$1005,'Repeat Detail'!$A$6:$A$1005,"Daily",'Repeat Detail'!$B$6:$B$1005,$A268))</x:f>
      </x:c>
      <x:c r="C268" s="20" t="str">
        <x:f>IF($A268="","",SUMIFS('Repeat Detail'!$J$6:$J$1005,'Repeat Detail'!$A$6:$A$1005,"Daily",'Repeat Detail'!$B$6:$B$1005,$A268))</x:f>
      </x:c>
      <x:c r="D268" s="20" t="str">
        <x:f>IF($A268="","",SUMIFS('Repeat Detail'!$K$6:$K$1005,'Repeat Detail'!$A$6:$A$1005,"Daily",'Repeat Detail'!$B$6:$B$1005,$A268))</x:f>
      </x:c>
      <x:c r="E268" s="20" t="str">
        <x:f>IF($A268="","",SUMIFS('Repeat Detail'!$L$6:$L$1005,'Repeat Detail'!$A$6:$A$1005,"Daily",'Repeat Detail'!$B$6:$B$1005,$A268))</x:f>
      </x:c>
      <x:c r="F268" s="22" t="str">
        <x:f>IF(A268="","",IF(D268=0,"n.a.",E268/D268))</x:f>
      </x:c>
      <x:c r="G268" s="20" t="str">
        <x:f>IF($A268="","",SUMIFS('Repeat Detail'!$M$6:$M$1005,'Repeat Detail'!$A$6:$A$1005,"Daily",'Repeat Detail'!$B$6:$B$1005,$A268))</x:f>
      </x:c>
      <x:c r="H268" s="22" t="str">
        <x:f>IF(A268="","",IF(C268=0,"n.a.",G268/C268))</x:f>
      </x:c>
      <x:c r="I268" s="20" t="str">
        <x:f>IF($A268="","",SUMIFS('Repeat Detail'!$N$6:$N$1005,'Repeat Detail'!$A$6:$A$1005,"Daily",'Repeat Detail'!$B$6:$B$1005,$A268))</x:f>
      </x:c>
      <x:c r="J268" s="20" t="str">
        <x:f>IF(A268="","",B268-C268)</x:f>
      </x:c>
    </x:row>
    <x:row r="269">
      <x:c r="A269" s="12" t="str">
        <x:f>IF(A268="","",IF(A268+1&gt;IF(AND(COUNTIF('Repeat Detail'!$A$6:$A$1005,"Quality")=21,COUNTIF('Repeat Detail'!$A$6:$A$1005,"Menu")=12,COUNTIF('Repeat Detail'!$A$6:$A$1005,"Daily")=SUMIFS('Repeat Detail'!$O$6:$O$1005,'Repeat Detail'!$A$6:$A$1005,"Quality",'Repeat Detail'!$H$6:$H$1005,"Date span")),SUMIFS('Repeat Detail'!$O$6:$O$1005,'Repeat Detail'!$A$6:$A$1005,"Quality",'Repeat Detail'!$H$6:$H$1005,"Last date"),NA()),"",A268+1))</x:f>
      </x:c>
      <x:c r="B269" s="20" t="str">
        <x:f>IF($A269="","",SUMIFS('Repeat Detail'!$I$6:$I$1005,'Repeat Detail'!$A$6:$A$1005,"Daily",'Repeat Detail'!$B$6:$B$1005,$A269))</x:f>
      </x:c>
      <x:c r="C269" s="20" t="str">
        <x:f>IF($A269="","",SUMIFS('Repeat Detail'!$J$6:$J$1005,'Repeat Detail'!$A$6:$A$1005,"Daily",'Repeat Detail'!$B$6:$B$1005,$A269))</x:f>
      </x:c>
      <x:c r="D269" s="20" t="str">
        <x:f>IF($A269="","",SUMIFS('Repeat Detail'!$K$6:$K$1005,'Repeat Detail'!$A$6:$A$1005,"Daily",'Repeat Detail'!$B$6:$B$1005,$A269))</x:f>
      </x:c>
      <x:c r="E269" s="20" t="str">
        <x:f>IF($A269="","",SUMIFS('Repeat Detail'!$L$6:$L$1005,'Repeat Detail'!$A$6:$A$1005,"Daily",'Repeat Detail'!$B$6:$B$1005,$A269))</x:f>
      </x:c>
      <x:c r="F269" s="22" t="str">
        <x:f>IF(A269="","",IF(D269=0,"n.a.",E269/D269))</x:f>
      </x:c>
      <x:c r="G269" s="20" t="str">
        <x:f>IF($A269="","",SUMIFS('Repeat Detail'!$M$6:$M$1005,'Repeat Detail'!$A$6:$A$1005,"Daily",'Repeat Detail'!$B$6:$B$1005,$A269))</x:f>
      </x:c>
      <x:c r="H269" s="22" t="str">
        <x:f>IF(A269="","",IF(C269=0,"n.a.",G269/C269))</x:f>
      </x:c>
      <x:c r="I269" s="20" t="str">
        <x:f>IF($A269="","",SUMIFS('Repeat Detail'!$N$6:$N$1005,'Repeat Detail'!$A$6:$A$1005,"Daily",'Repeat Detail'!$B$6:$B$1005,$A269))</x:f>
      </x:c>
      <x:c r="J269" s="20" t="str">
        <x:f>IF(A269="","",B269-C269)</x:f>
      </x:c>
    </x:row>
    <x:row r="270">
      <x:c r="A270" s="12" t="str">
        <x:f>IF(A269="","",IF(A269+1&gt;IF(AND(COUNTIF('Repeat Detail'!$A$6:$A$1005,"Quality")=21,COUNTIF('Repeat Detail'!$A$6:$A$1005,"Menu")=12,COUNTIF('Repeat Detail'!$A$6:$A$1005,"Daily")=SUMIFS('Repeat Detail'!$O$6:$O$1005,'Repeat Detail'!$A$6:$A$1005,"Quality",'Repeat Detail'!$H$6:$H$1005,"Date span")),SUMIFS('Repeat Detail'!$O$6:$O$1005,'Repeat Detail'!$A$6:$A$1005,"Quality",'Repeat Detail'!$H$6:$H$1005,"Last date"),NA()),"",A269+1))</x:f>
      </x:c>
      <x:c r="B270" s="20" t="str">
        <x:f>IF($A270="","",SUMIFS('Repeat Detail'!$I$6:$I$1005,'Repeat Detail'!$A$6:$A$1005,"Daily",'Repeat Detail'!$B$6:$B$1005,$A270))</x:f>
      </x:c>
      <x:c r="C270" s="20" t="str">
        <x:f>IF($A270="","",SUMIFS('Repeat Detail'!$J$6:$J$1005,'Repeat Detail'!$A$6:$A$1005,"Daily",'Repeat Detail'!$B$6:$B$1005,$A270))</x:f>
      </x:c>
      <x:c r="D270" s="20" t="str">
        <x:f>IF($A270="","",SUMIFS('Repeat Detail'!$K$6:$K$1005,'Repeat Detail'!$A$6:$A$1005,"Daily",'Repeat Detail'!$B$6:$B$1005,$A270))</x:f>
      </x:c>
      <x:c r="E270" s="20" t="str">
        <x:f>IF($A270="","",SUMIFS('Repeat Detail'!$L$6:$L$1005,'Repeat Detail'!$A$6:$A$1005,"Daily",'Repeat Detail'!$B$6:$B$1005,$A270))</x:f>
      </x:c>
      <x:c r="F270" s="22" t="str">
        <x:f>IF(A270="","",IF(D270=0,"n.a.",E270/D270))</x:f>
      </x:c>
      <x:c r="G270" s="20" t="str">
        <x:f>IF($A270="","",SUMIFS('Repeat Detail'!$M$6:$M$1005,'Repeat Detail'!$A$6:$A$1005,"Daily",'Repeat Detail'!$B$6:$B$1005,$A270))</x:f>
      </x:c>
      <x:c r="H270" s="22" t="str">
        <x:f>IF(A270="","",IF(C270=0,"n.a.",G270/C270))</x:f>
      </x:c>
      <x:c r="I270" s="20" t="str">
        <x:f>IF($A270="","",SUMIFS('Repeat Detail'!$N$6:$N$1005,'Repeat Detail'!$A$6:$A$1005,"Daily",'Repeat Detail'!$B$6:$B$1005,$A270))</x:f>
      </x:c>
      <x:c r="J270" s="20" t="str">
        <x:f>IF(A270="","",B270-C270)</x:f>
      </x:c>
    </x:row>
    <x:row r="271">
      <x:c r="A271" s="12" t="str">
        <x:f>IF(A270="","",IF(A270+1&gt;IF(AND(COUNTIF('Repeat Detail'!$A$6:$A$1005,"Quality")=21,COUNTIF('Repeat Detail'!$A$6:$A$1005,"Menu")=12,COUNTIF('Repeat Detail'!$A$6:$A$1005,"Daily")=SUMIFS('Repeat Detail'!$O$6:$O$1005,'Repeat Detail'!$A$6:$A$1005,"Quality",'Repeat Detail'!$H$6:$H$1005,"Date span")),SUMIFS('Repeat Detail'!$O$6:$O$1005,'Repeat Detail'!$A$6:$A$1005,"Quality",'Repeat Detail'!$H$6:$H$1005,"Last date"),NA()),"",A270+1))</x:f>
      </x:c>
      <x:c r="B271" s="20" t="str">
        <x:f>IF($A271="","",SUMIFS('Repeat Detail'!$I$6:$I$1005,'Repeat Detail'!$A$6:$A$1005,"Daily",'Repeat Detail'!$B$6:$B$1005,$A271))</x:f>
      </x:c>
      <x:c r="C271" s="20" t="str">
        <x:f>IF($A271="","",SUMIFS('Repeat Detail'!$J$6:$J$1005,'Repeat Detail'!$A$6:$A$1005,"Daily",'Repeat Detail'!$B$6:$B$1005,$A271))</x:f>
      </x:c>
      <x:c r="D271" s="20" t="str">
        <x:f>IF($A271="","",SUMIFS('Repeat Detail'!$K$6:$K$1005,'Repeat Detail'!$A$6:$A$1005,"Daily",'Repeat Detail'!$B$6:$B$1005,$A271))</x:f>
      </x:c>
      <x:c r="E271" s="20" t="str">
        <x:f>IF($A271="","",SUMIFS('Repeat Detail'!$L$6:$L$1005,'Repeat Detail'!$A$6:$A$1005,"Daily",'Repeat Detail'!$B$6:$B$1005,$A271))</x:f>
      </x:c>
      <x:c r="F271" s="22" t="str">
        <x:f>IF(A271="","",IF(D271=0,"n.a.",E271/D271))</x:f>
      </x:c>
      <x:c r="G271" s="20" t="str">
        <x:f>IF($A271="","",SUMIFS('Repeat Detail'!$M$6:$M$1005,'Repeat Detail'!$A$6:$A$1005,"Daily",'Repeat Detail'!$B$6:$B$1005,$A271))</x:f>
      </x:c>
      <x:c r="H271" s="22" t="str">
        <x:f>IF(A271="","",IF(C271=0,"n.a.",G271/C271))</x:f>
      </x:c>
      <x:c r="I271" s="20" t="str">
        <x:f>IF($A271="","",SUMIFS('Repeat Detail'!$N$6:$N$1005,'Repeat Detail'!$A$6:$A$1005,"Daily",'Repeat Detail'!$B$6:$B$1005,$A271))</x:f>
      </x:c>
      <x:c r="J271" s="20" t="str">
        <x:f>IF(A271="","",B271-C271)</x:f>
      </x:c>
    </x:row>
    <x:row r="272">
      <x:c r="A272" s="12" t="str">
        <x:f>IF(A271="","",IF(A271+1&gt;IF(AND(COUNTIF('Repeat Detail'!$A$6:$A$1005,"Quality")=21,COUNTIF('Repeat Detail'!$A$6:$A$1005,"Menu")=12,COUNTIF('Repeat Detail'!$A$6:$A$1005,"Daily")=SUMIFS('Repeat Detail'!$O$6:$O$1005,'Repeat Detail'!$A$6:$A$1005,"Quality",'Repeat Detail'!$H$6:$H$1005,"Date span")),SUMIFS('Repeat Detail'!$O$6:$O$1005,'Repeat Detail'!$A$6:$A$1005,"Quality",'Repeat Detail'!$H$6:$H$1005,"Last date"),NA()),"",A271+1))</x:f>
      </x:c>
      <x:c r="B272" s="20" t="str">
        <x:f>IF($A272="","",SUMIFS('Repeat Detail'!$I$6:$I$1005,'Repeat Detail'!$A$6:$A$1005,"Daily",'Repeat Detail'!$B$6:$B$1005,$A272))</x:f>
      </x:c>
      <x:c r="C272" s="20" t="str">
        <x:f>IF($A272="","",SUMIFS('Repeat Detail'!$J$6:$J$1005,'Repeat Detail'!$A$6:$A$1005,"Daily",'Repeat Detail'!$B$6:$B$1005,$A272))</x:f>
      </x:c>
      <x:c r="D272" s="20" t="str">
        <x:f>IF($A272="","",SUMIFS('Repeat Detail'!$K$6:$K$1005,'Repeat Detail'!$A$6:$A$1005,"Daily",'Repeat Detail'!$B$6:$B$1005,$A272))</x:f>
      </x:c>
      <x:c r="E272" s="20" t="str">
        <x:f>IF($A272="","",SUMIFS('Repeat Detail'!$L$6:$L$1005,'Repeat Detail'!$A$6:$A$1005,"Daily",'Repeat Detail'!$B$6:$B$1005,$A272))</x:f>
      </x:c>
      <x:c r="F272" s="22" t="str">
        <x:f>IF(A272="","",IF(D272=0,"n.a.",E272/D272))</x:f>
      </x:c>
      <x:c r="G272" s="20" t="str">
        <x:f>IF($A272="","",SUMIFS('Repeat Detail'!$M$6:$M$1005,'Repeat Detail'!$A$6:$A$1005,"Daily",'Repeat Detail'!$B$6:$B$1005,$A272))</x:f>
      </x:c>
      <x:c r="H272" s="22" t="str">
        <x:f>IF(A272="","",IF(C272=0,"n.a.",G272/C272))</x:f>
      </x:c>
      <x:c r="I272" s="20" t="str">
        <x:f>IF($A272="","",SUMIFS('Repeat Detail'!$N$6:$N$1005,'Repeat Detail'!$A$6:$A$1005,"Daily",'Repeat Detail'!$B$6:$B$1005,$A272))</x:f>
      </x:c>
      <x:c r="J272" s="20" t="str">
        <x:f>IF(A272="","",B272-C272)</x:f>
      </x:c>
    </x:row>
    <x:row r="273">
      <x:c r="A273" s="12" t="str">
        <x:f>IF(A272="","",IF(A272+1&gt;IF(AND(COUNTIF('Repeat Detail'!$A$6:$A$1005,"Quality")=21,COUNTIF('Repeat Detail'!$A$6:$A$1005,"Menu")=12,COUNTIF('Repeat Detail'!$A$6:$A$1005,"Daily")=SUMIFS('Repeat Detail'!$O$6:$O$1005,'Repeat Detail'!$A$6:$A$1005,"Quality",'Repeat Detail'!$H$6:$H$1005,"Date span")),SUMIFS('Repeat Detail'!$O$6:$O$1005,'Repeat Detail'!$A$6:$A$1005,"Quality",'Repeat Detail'!$H$6:$H$1005,"Last date"),NA()),"",A272+1))</x:f>
      </x:c>
      <x:c r="B273" s="20" t="str">
        <x:f>IF($A273="","",SUMIFS('Repeat Detail'!$I$6:$I$1005,'Repeat Detail'!$A$6:$A$1005,"Daily",'Repeat Detail'!$B$6:$B$1005,$A273))</x:f>
      </x:c>
      <x:c r="C273" s="20" t="str">
        <x:f>IF($A273="","",SUMIFS('Repeat Detail'!$J$6:$J$1005,'Repeat Detail'!$A$6:$A$1005,"Daily",'Repeat Detail'!$B$6:$B$1005,$A273))</x:f>
      </x:c>
      <x:c r="D273" s="20" t="str">
        <x:f>IF($A273="","",SUMIFS('Repeat Detail'!$K$6:$K$1005,'Repeat Detail'!$A$6:$A$1005,"Daily",'Repeat Detail'!$B$6:$B$1005,$A273))</x:f>
      </x:c>
      <x:c r="E273" s="20" t="str">
        <x:f>IF($A273="","",SUMIFS('Repeat Detail'!$L$6:$L$1005,'Repeat Detail'!$A$6:$A$1005,"Daily",'Repeat Detail'!$B$6:$B$1005,$A273))</x:f>
      </x:c>
      <x:c r="F273" s="22" t="str">
        <x:f>IF(A273="","",IF(D273=0,"n.a.",E273/D273))</x:f>
      </x:c>
      <x:c r="G273" s="20" t="str">
        <x:f>IF($A273="","",SUMIFS('Repeat Detail'!$M$6:$M$1005,'Repeat Detail'!$A$6:$A$1005,"Daily",'Repeat Detail'!$B$6:$B$1005,$A273))</x:f>
      </x:c>
      <x:c r="H273" s="22" t="str">
        <x:f>IF(A273="","",IF(C273=0,"n.a.",G273/C273))</x:f>
      </x:c>
      <x:c r="I273" s="20" t="str">
        <x:f>IF($A273="","",SUMIFS('Repeat Detail'!$N$6:$N$1005,'Repeat Detail'!$A$6:$A$1005,"Daily",'Repeat Detail'!$B$6:$B$1005,$A273))</x:f>
      </x:c>
      <x:c r="J273" s="20" t="str">
        <x:f>IF(A273="","",B273-C273)</x:f>
      </x:c>
    </x:row>
    <x:row r="274">
      <x:c r="A274" s="12" t="str">
        <x:f>IF(A273="","",IF(A273+1&gt;IF(AND(COUNTIF('Repeat Detail'!$A$6:$A$1005,"Quality")=21,COUNTIF('Repeat Detail'!$A$6:$A$1005,"Menu")=12,COUNTIF('Repeat Detail'!$A$6:$A$1005,"Daily")=SUMIFS('Repeat Detail'!$O$6:$O$1005,'Repeat Detail'!$A$6:$A$1005,"Quality",'Repeat Detail'!$H$6:$H$1005,"Date span")),SUMIFS('Repeat Detail'!$O$6:$O$1005,'Repeat Detail'!$A$6:$A$1005,"Quality",'Repeat Detail'!$H$6:$H$1005,"Last date"),NA()),"",A273+1))</x:f>
      </x:c>
      <x:c r="B274" s="20" t="str">
        <x:f>IF($A274="","",SUMIFS('Repeat Detail'!$I$6:$I$1005,'Repeat Detail'!$A$6:$A$1005,"Daily",'Repeat Detail'!$B$6:$B$1005,$A274))</x:f>
      </x:c>
      <x:c r="C274" s="20" t="str">
        <x:f>IF($A274="","",SUMIFS('Repeat Detail'!$J$6:$J$1005,'Repeat Detail'!$A$6:$A$1005,"Daily",'Repeat Detail'!$B$6:$B$1005,$A274))</x:f>
      </x:c>
      <x:c r="D274" s="20" t="str">
        <x:f>IF($A274="","",SUMIFS('Repeat Detail'!$K$6:$K$1005,'Repeat Detail'!$A$6:$A$1005,"Daily",'Repeat Detail'!$B$6:$B$1005,$A274))</x:f>
      </x:c>
      <x:c r="E274" s="20" t="str">
        <x:f>IF($A274="","",SUMIFS('Repeat Detail'!$L$6:$L$1005,'Repeat Detail'!$A$6:$A$1005,"Daily",'Repeat Detail'!$B$6:$B$1005,$A274))</x:f>
      </x:c>
      <x:c r="F274" s="22" t="str">
        <x:f>IF(A274="","",IF(D274=0,"n.a.",E274/D274))</x:f>
      </x:c>
      <x:c r="G274" s="20" t="str">
        <x:f>IF($A274="","",SUMIFS('Repeat Detail'!$M$6:$M$1005,'Repeat Detail'!$A$6:$A$1005,"Daily",'Repeat Detail'!$B$6:$B$1005,$A274))</x:f>
      </x:c>
      <x:c r="H274" s="22" t="str">
        <x:f>IF(A274="","",IF(C274=0,"n.a.",G274/C274))</x:f>
      </x:c>
      <x:c r="I274" s="20" t="str">
        <x:f>IF($A274="","",SUMIFS('Repeat Detail'!$N$6:$N$1005,'Repeat Detail'!$A$6:$A$1005,"Daily",'Repeat Detail'!$B$6:$B$1005,$A274))</x:f>
      </x:c>
      <x:c r="J274" s="20" t="str">
        <x:f>IF(A274="","",B274-C274)</x:f>
      </x:c>
    </x:row>
    <x:row r="275">
      <x:c r="A275" s="12" t="str">
        <x:f>IF(A274="","",IF(A274+1&gt;IF(AND(COUNTIF('Repeat Detail'!$A$6:$A$1005,"Quality")=21,COUNTIF('Repeat Detail'!$A$6:$A$1005,"Menu")=12,COUNTIF('Repeat Detail'!$A$6:$A$1005,"Daily")=SUMIFS('Repeat Detail'!$O$6:$O$1005,'Repeat Detail'!$A$6:$A$1005,"Quality",'Repeat Detail'!$H$6:$H$1005,"Date span")),SUMIFS('Repeat Detail'!$O$6:$O$1005,'Repeat Detail'!$A$6:$A$1005,"Quality",'Repeat Detail'!$H$6:$H$1005,"Last date"),NA()),"",A274+1))</x:f>
      </x:c>
      <x:c r="B275" s="20" t="str">
        <x:f>IF($A275="","",SUMIFS('Repeat Detail'!$I$6:$I$1005,'Repeat Detail'!$A$6:$A$1005,"Daily",'Repeat Detail'!$B$6:$B$1005,$A275))</x:f>
      </x:c>
      <x:c r="C275" s="20" t="str">
        <x:f>IF($A275="","",SUMIFS('Repeat Detail'!$J$6:$J$1005,'Repeat Detail'!$A$6:$A$1005,"Daily",'Repeat Detail'!$B$6:$B$1005,$A275))</x:f>
      </x:c>
      <x:c r="D275" s="20" t="str">
        <x:f>IF($A275="","",SUMIFS('Repeat Detail'!$K$6:$K$1005,'Repeat Detail'!$A$6:$A$1005,"Daily",'Repeat Detail'!$B$6:$B$1005,$A275))</x:f>
      </x:c>
      <x:c r="E275" s="20" t="str">
        <x:f>IF($A275="","",SUMIFS('Repeat Detail'!$L$6:$L$1005,'Repeat Detail'!$A$6:$A$1005,"Daily",'Repeat Detail'!$B$6:$B$1005,$A275))</x:f>
      </x:c>
      <x:c r="F275" s="22" t="str">
        <x:f>IF(A275="","",IF(D275=0,"n.a.",E275/D275))</x:f>
      </x:c>
      <x:c r="G275" s="20" t="str">
        <x:f>IF($A275="","",SUMIFS('Repeat Detail'!$M$6:$M$1005,'Repeat Detail'!$A$6:$A$1005,"Daily",'Repeat Detail'!$B$6:$B$1005,$A275))</x:f>
      </x:c>
      <x:c r="H275" s="22" t="str">
        <x:f>IF(A275="","",IF(C275=0,"n.a.",G275/C275))</x:f>
      </x:c>
      <x:c r="I275" s="20" t="str">
        <x:f>IF($A275="","",SUMIFS('Repeat Detail'!$N$6:$N$1005,'Repeat Detail'!$A$6:$A$1005,"Daily",'Repeat Detail'!$B$6:$B$1005,$A275))</x:f>
      </x:c>
      <x:c r="J275" s="20" t="str">
        <x:f>IF(A275="","",B275-C275)</x:f>
      </x:c>
    </x:row>
    <x:row r="276">
      <x:c r="A276" s="12" t="str">
        <x:f>IF(A275="","",IF(A275+1&gt;IF(AND(COUNTIF('Repeat Detail'!$A$6:$A$1005,"Quality")=21,COUNTIF('Repeat Detail'!$A$6:$A$1005,"Menu")=12,COUNTIF('Repeat Detail'!$A$6:$A$1005,"Daily")=SUMIFS('Repeat Detail'!$O$6:$O$1005,'Repeat Detail'!$A$6:$A$1005,"Quality",'Repeat Detail'!$H$6:$H$1005,"Date span")),SUMIFS('Repeat Detail'!$O$6:$O$1005,'Repeat Detail'!$A$6:$A$1005,"Quality",'Repeat Detail'!$H$6:$H$1005,"Last date"),NA()),"",A275+1))</x:f>
      </x:c>
      <x:c r="B276" s="20" t="str">
        <x:f>IF($A276="","",SUMIFS('Repeat Detail'!$I$6:$I$1005,'Repeat Detail'!$A$6:$A$1005,"Daily",'Repeat Detail'!$B$6:$B$1005,$A276))</x:f>
      </x:c>
      <x:c r="C276" s="20" t="str">
        <x:f>IF($A276="","",SUMIFS('Repeat Detail'!$J$6:$J$1005,'Repeat Detail'!$A$6:$A$1005,"Daily",'Repeat Detail'!$B$6:$B$1005,$A276))</x:f>
      </x:c>
      <x:c r="D276" s="20" t="str">
        <x:f>IF($A276="","",SUMIFS('Repeat Detail'!$K$6:$K$1005,'Repeat Detail'!$A$6:$A$1005,"Daily",'Repeat Detail'!$B$6:$B$1005,$A276))</x:f>
      </x:c>
      <x:c r="E276" s="20" t="str">
        <x:f>IF($A276="","",SUMIFS('Repeat Detail'!$L$6:$L$1005,'Repeat Detail'!$A$6:$A$1005,"Daily",'Repeat Detail'!$B$6:$B$1005,$A276))</x:f>
      </x:c>
      <x:c r="F276" s="22" t="str">
        <x:f>IF(A276="","",IF(D276=0,"n.a.",E276/D276))</x:f>
      </x:c>
      <x:c r="G276" s="20" t="str">
        <x:f>IF($A276="","",SUMIFS('Repeat Detail'!$M$6:$M$1005,'Repeat Detail'!$A$6:$A$1005,"Daily",'Repeat Detail'!$B$6:$B$1005,$A276))</x:f>
      </x:c>
      <x:c r="H276" s="22" t="str">
        <x:f>IF(A276="","",IF(C276=0,"n.a.",G276/C276))</x:f>
      </x:c>
      <x:c r="I276" s="20" t="str">
        <x:f>IF($A276="","",SUMIFS('Repeat Detail'!$N$6:$N$1005,'Repeat Detail'!$A$6:$A$1005,"Daily",'Repeat Detail'!$B$6:$B$1005,$A276))</x:f>
      </x:c>
      <x:c r="J276" s="20" t="str">
        <x:f>IF(A276="","",B276-C276)</x:f>
      </x:c>
    </x:row>
    <x:row r="277">
      <x:c r="A277" s="12" t="str">
        <x:f>IF(A276="","",IF(A276+1&gt;IF(AND(COUNTIF('Repeat Detail'!$A$6:$A$1005,"Quality")=21,COUNTIF('Repeat Detail'!$A$6:$A$1005,"Menu")=12,COUNTIF('Repeat Detail'!$A$6:$A$1005,"Daily")=SUMIFS('Repeat Detail'!$O$6:$O$1005,'Repeat Detail'!$A$6:$A$1005,"Quality",'Repeat Detail'!$H$6:$H$1005,"Date span")),SUMIFS('Repeat Detail'!$O$6:$O$1005,'Repeat Detail'!$A$6:$A$1005,"Quality",'Repeat Detail'!$H$6:$H$1005,"Last date"),NA()),"",A276+1))</x:f>
      </x:c>
      <x:c r="B277" s="20" t="str">
        <x:f>IF($A277="","",SUMIFS('Repeat Detail'!$I$6:$I$1005,'Repeat Detail'!$A$6:$A$1005,"Daily",'Repeat Detail'!$B$6:$B$1005,$A277))</x:f>
      </x:c>
      <x:c r="C277" s="20" t="str">
        <x:f>IF($A277="","",SUMIFS('Repeat Detail'!$J$6:$J$1005,'Repeat Detail'!$A$6:$A$1005,"Daily",'Repeat Detail'!$B$6:$B$1005,$A277))</x:f>
      </x:c>
      <x:c r="D277" s="20" t="str">
        <x:f>IF($A277="","",SUMIFS('Repeat Detail'!$K$6:$K$1005,'Repeat Detail'!$A$6:$A$1005,"Daily",'Repeat Detail'!$B$6:$B$1005,$A277))</x:f>
      </x:c>
      <x:c r="E277" s="20" t="str">
        <x:f>IF($A277="","",SUMIFS('Repeat Detail'!$L$6:$L$1005,'Repeat Detail'!$A$6:$A$1005,"Daily",'Repeat Detail'!$B$6:$B$1005,$A277))</x:f>
      </x:c>
      <x:c r="F277" s="22" t="str">
        <x:f>IF(A277="","",IF(D277=0,"n.a.",E277/D277))</x:f>
      </x:c>
      <x:c r="G277" s="20" t="str">
        <x:f>IF($A277="","",SUMIFS('Repeat Detail'!$M$6:$M$1005,'Repeat Detail'!$A$6:$A$1005,"Daily",'Repeat Detail'!$B$6:$B$1005,$A277))</x:f>
      </x:c>
      <x:c r="H277" s="22" t="str">
        <x:f>IF(A277="","",IF(C277=0,"n.a.",G277/C277))</x:f>
      </x:c>
      <x:c r="I277" s="20" t="str">
        <x:f>IF($A277="","",SUMIFS('Repeat Detail'!$N$6:$N$1005,'Repeat Detail'!$A$6:$A$1005,"Daily",'Repeat Detail'!$B$6:$B$1005,$A277))</x:f>
      </x:c>
      <x:c r="J277" s="20" t="str">
        <x:f>IF(A277="","",B277-C277)</x:f>
      </x:c>
    </x:row>
    <x:row r="278">
      <x:c r="A278" s="12" t="str">
        <x:f>IF(A277="","",IF(A277+1&gt;IF(AND(COUNTIF('Repeat Detail'!$A$6:$A$1005,"Quality")=21,COUNTIF('Repeat Detail'!$A$6:$A$1005,"Menu")=12,COUNTIF('Repeat Detail'!$A$6:$A$1005,"Daily")=SUMIFS('Repeat Detail'!$O$6:$O$1005,'Repeat Detail'!$A$6:$A$1005,"Quality",'Repeat Detail'!$H$6:$H$1005,"Date span")),SUMIFS('Repeat Detail'!$O$6:$O$1005,'Repeat Detail'!$A$6:$A$1005,"Quality",'Repeat Detail'!$H$6:$H$1005,"Last date"),NA()),"",A277+1))</x:f>
      </x:c>
      <x:c r="B278" s="20" t="str">
        <x:f>IF($A278="","",SUMIFS('Repeat Detail'!$I$6:$I$1005,'Repeat Detail'!$A$6:$A$1005,"Daily",'Repeat Detail'!$B$6:$B$1005,$A278))</x:f>
      </x:c>
      <x:c r="C278" s="20" t="str">
        <x:f>IF($A278="","",SUMIFS('Repeat Detail'!$J$6:$J$1005,'Repeat Detail'!$A$6:$A$1005,"Daily",'Repeat Detail'!$B$6:$B$1005,$A278))</x:f>
      </x:c>
      <x:c r="D278" s="20" t="str">
        <x:f>IF($A278="","",SUMIFS('Repeat Detail'!$K$6:$K$1005,'Repeat Detail'!$A$6:$A$1005,"Daily",'Repeat Detail'!$B$6:$B$1005,$A278))</x:f>
      </x:c>
      <x:c r="E278" s="20" t="str">
        <x:f>IF($A278="","",SUMIFS('Repeat Detail'!$L$6:$L$1005,'Repeat Detail'!$A$6:$A$1005,"Daily",'Repeat Detail'!$B$6:$B$1005,$A278))</x:f>
      </x:c>
      <x:c r="F278" s="22" t="str">
        <x:f>IF(A278="","",IF(D278=0,"n.a.",E278/D278))</x:f>
      </x:c>
      <x:c r="G278" s="20" t="str">
        <x:f>IF($A278="","",SUMIFS('Repeat Detail'!$M$6:$M$1005,'Repeat Detail'!$A$6:$A$1005,"Daily",'Repeat Detail'!$B$6:$B$1005,$A278))</x:f>
      </x:c>
      <x:c r="H278" s="22" t="str">
        <x:f>IF(A278="","",IF(C278=0,"n.a.",G278/C278))</x:f>
      </x:c>
      <x:c r="I278" s="20" t="str">
        <x:f>IF($A278="","",SUMIFS('Repeat Detail'!$N$6:$N$1005,'Repeat Detail'!$A$6:$A$1005,"Daily",'Repeat Detail'!$B$6:$B$1005,$A278))</x:f>
      </x:c>
      <x:c r="J278" s="20" t="str">
        <x:f>IF(A278="","",B278-C278)</x:f>
      </x:c>
    </x:row>
    <x:row r="279">
      <x:c r="A279" s="12" t="str">
        <x:f>IF(A278="","",IF(A278+1&gt;IF(AND(COUNTIF('Repeat Detail'!$A$6:$A$1005,"Quality")=21,COUNTIF('Repeat Detail'!$A$6:$A$1005,"Menu")=12,COUNTIF('Repeat Detail'!$A$6:$A$1005,"Daily")=SUMIFS('Repeat Detail'!$O$6:$O$1005,'Repeat Detail'!$A$6:$A$1005,"Quality",'Repeat Detail'!$H$6:$H$1005,"Date span")),SUMIFS('Repeat Detail'!$O$6:$O$1005,'Repeat Detail'!$A$6:$A$1005,"Quality",'Repeat Detail'!$H$6:$H$1005,"Last date"),NA()),"",A278+1))</x:f>
      </x:c>
      <x:c r="B279" s="20" t="str">
        <x:f>IF($A279="","",SUMIFS('Repeat Detail'!$I$6:$I$1005,'Repeat Detail'!$A$6:$A$1005,"Daily",'Repeat Detail'!$B$6:$B$1005,$A279))</x:f>
      </x:c>
      <x:c r="C279" s="20" t="str">
        <x:f>IF($A279="","",SUMIFS('Repeat Detail'!$J$6:$J$1005,'Repeat Detail'!$A$6:$A$1005,"Daily",'Repeat Detail'!$B$6:$B$1005,$A279))</x:f>
      </x:c>
      <x:c r="D279" s="20" t="str">
        <x:f>IF($A279="","",SUMIFS('Repeat Detail'!$K$6:$K$1005,'Repeat Detail'!$A$6:$A$1005,"Daily",'Repeat Detail'!$B$6:$B$1005,$A279))</x:f>
      </x:c>
      <x:c r="E279" s="20" t="str">
        <x:f>IF($A279="","",SUMIFS('Repeat Detail'!$L$6:$L$1005,'Repeat Detail'!$A$6:$A$1005,"Daily",'Repeat Detail'!$B$6:$B$1005,$A279))</x:f>
      </x:c>
      <x:c r="F279" s="22" t="str">
        <x:f>IF(A279="","",IF(D279=0,"n.a.",E279/D279))</x:f>
      </x:c>
      <x:c r="G279" s="20" t="str">
        <x:f>IF($A279="","",SUMIFS('Repeat Detail'!$M$6:$M$1005,'Repeat Detail'!$A$6:$A$1005,"Daily",'Repeat Detail'!$B$6:$B$1005,$A279))</x:f>
      </x:c>
      <x:c r="H279" s="22" t="str">
        <x:f>IF(A279="","",IF(C279=0,"n.a.",G279/C279))</x:f>
      </x:c>
      <x:c r="I279" s="20" t="str">
        <x:f>IF($A279="","",SUMIFS('Repeat Detail'!$N$6:$N$1005,'Repeat Detail'!$A$6:$A$1005,"Daily",'Repeat Detail'!$B$6:$B$1005,$A279))</x:f>
      </x:c>
      <x:c r="J279" s="20" t="str">
        <x:f>IF(A279="","",B279-C279)</x:f>
      </x:c>
    </x:row>
    <x:row r="280">
      <x:c r="A280" s="12" t="str">
        <x:f>IF(A279="","",IF(A279+1&gt;IF(AND(COUNTIF('Repeat Detail'!$A$6:$A$1005,"Quality")=21,COUNTIF('Repeat Detail'!$A$6:$A$1005,"Menu")=12,COUNTIF('Repeat Detail'!$A$6:$A$1005,"Daily")=SUMIFS('Repeat Detail'!$O$6:$O$1005,'Repeat Detail'!$A$6:$A$1005,"Quality",'Repeat Detail'!$H$6:$H$1005,"Date span")),SUMIFS('Repeat Detail'!$O$6:$O$1005,'Repeat Detail'!$A$6:$A$1005,"Quality",'Repeat Detail'!$H$6:$H$1005,"Last date"),NA()),"",A279+1))</x:f>
      </x:c>
      <x:c r="B280" s="20" t="str">
        <x:f>IF($A280="","",SUMIFS('Repeat Detail'!$I$6:$I$1005,'Repeat Detail'!$A$6:$A$1005,"Daily",'Repeat Detail'!$B$6:$B$1005,$A280))</x:f>
      </x:c>
      <x:c r="C280" s="20" t="str">
        <x:f>IF($A280="","",SUMIFS('Repeat Detail'!$J$6:$J$1005,'Repeat Detail'!$A$6:$A$1005,"Daily",'Repeat Detail'!$B$6:$B$1005,$A280))</x:f>
      </x:c>
      <x:c r="D280" s="20" t="str">
        <x:f>IF($A280="","",SUMIFS('Repeat Detail'!$K$6:$K$1005,'Repeat Detail'!$A$6:$A$1005,"Daily",'Repeat Detail'!$B$6:$B$1005,$A280))</x:f>
      </x:c>
      <x:c r="E280" s="20" t="str">
        <x:f>IF($A280="","",SUMIFS('Repeat Detail'!$L$6:$L$1005,'Repeat Detail'!$A$6:$A$1005,"Daily",'Repeat Detail'!$B$6:$B$1005,$A280))</x:f>
      </x:c>
      <x:c r="F280" s="22" t="str">
        <x:f>IF(A280="","",IF(D280=0,"n.a.",E280/D280))</x:f>
      </x:c>
      <x:c r="G280" s="20" t="str">
        <x:f>IF($A280="","",SUMIFS('Repeat Detail'!$M$6:$M$1005,'Repeat Detail'!$A$6:$A$1005,"Daily",'Repeat Detail'!$B$6:$B$1005,$A280))</x:f>
      </x:c>
      <x:c r="H280" s="22" t="str">
        <x:f>IF(A280="","",IF(C280=0,"n.a.",G280/C280))</x:f>
      </x:c>
      <x:c r="I280" s="20" t="str">
        <x:f>IF($A280="","",SUMIFS('Repeat Detail'!$N$6:$N$1005,'Repeat Detail'!$A$6:$A$1005,"Daily",'Repeat Detail'!$B$6:$B$1005,$A280))</x:f>
      </x:c>
      <x:c r="J280" s="20" t="str">
        <x:f>IF(A280="","",B280-C280)</x:f>
      </x:c>
    </x:row>
    <x:row r="281">
      <x:c r="A281" s="12" t="str">
        <x:f>IF(A280="","",IF(A280+1&gt;IF(AND(COUNTIF('Repeat Detail'!$A$6:$A$1005,"Quality")=21,COUNTIF('Repeat Detail'!$A$6:$A$1005,"Menu")=12,COUNTIF('Repeat Detail'!$A$6:$A$1005,"Daily")=SUMIFS('Repeat Detail'!$O$6:$O$1005,'Repeat Detail'!$A$6:$A$1005,"Quality",'Repeat Detail'!$H$6:$H$1005,"Date span")),SUMIFS('Repeat Detail'!$O$6:$O$1005,'Repeat Detail'!$A$6:$A$1005,"Quality",'Repeat Detail'!$H$6:$H$1005,"Last date"),NA()),"",A280+1))</x:f>
      </x:c>
      <x:c r="B281" s="20" t="str">
        <x:f>IF($A281="","",SUMIFS('Repeat Detail'!$I$6:$I$1005,'Repeat Detail'!$A$6:$A$1005,"Daily",'Repeat Detail'!$B$6:$B$1005,$A281))</x:f>
      </x:c>
      <x:c r="C281" s="20" t="str">
        <x:f>IF($A281="","",SUMIFS('Repeat Detail'!$J$6:$J$1005,'Repeat Detail'!$A$6:$A$1005,"Daily",'Repeat Detail'!$B$6:$B$1005,$A281))</x:f>
      </x:c>
      <x:c r="D281" s="20" t="str">
        <x:f>IF($A281="","",SUMIFS('Repeat Detail'!$K$6:$K$1005,'Repeat Detail'!$A$6:$A$1005,"Daily",'Repeat Detail'!$B$6:$B$1005,$A281))</x:f>
      </x:c>
      <x:c r="E281" s="20" t="str">
        <x:f>IF($A281="","",SUMIFS('Repeat Detail'!$L$6:$L$1005,'Repeat Detail'!$A$6:$A$1005,"Daily",'Repeat Detail'!$B$6:$B$1005,$A281))</x:f>
      </x:c>
      <x:c r="F281" s="22" t="str">
        <x:f>IF(A281="","",IF(D281=0,"n.a.",E281/D281))</x:f>
      </x:c>
      <x:c r="G281" s="20" t="str">
        <x:f>IF($A281="","",SUMIFS('Repeat Detail'!$M$6:$M$1005,'Repeat Detail'!$A$6:$A$1005,"Daily",'Repeat Detail'!$B$6:$B$1005,$A281))</x:f>
      </x:c>
      <x:c r="H281" s="22" t="str">
        <x:f>IF(A281="","",IF(C281=0,"n.a.",G281/C281))</x:f>
      </x:c>
      <x:c r="I281" s="20" t="str">
        <x:f>IF($A281="","",SUMIFS('Repeat Detail'!$N$6:$N$1005,'Repeat Detail'!$A$6:$A$1005,"Daily",'Repeat Detail'!$B$6:$B$1005,$A281))</x:f>
      </x:c>
      <x:c r="J281" s="20" t="str">
        <x:f>IF(A281="","",B281-C281)</x:f>
      </x:c>
    </x:row>
    <x:row r="282">
      <x:c r="A282" s="12" t="str">
        <x:f>IF(A281="","",IF(A281+1&gt;IF(AND(COUNTIF('Repeat Detail'!$A$6:$A$1005,"Quality")=21,COUNTIF('Repeat Detail'!$A$6:$A$1005,"Menu")=12,COUNTIF('Repeat Detail'!$A$6:$A$1005,"Daily")=SUMIFS('Repeat Detail'!$O$6:$O$1005,'Repeat Detail'!$A$6:$A$1005,"Quality",'Repeat Detail'!$H$6:$H$1005,"Date span")),SUMIFS('Repeat Detail'!$O$6:$O$1005,'Repeat Detail'!$A$6:$A$1005,"Quality",'Repeat Detail'!$H$6:$H$1005,"Last date"),NA()),"",A281+1))</x:f>
      </x:c>
      <x:c r="B282" s="20" t="str">
        <x:f>IF($A282="","",SUMIFS('Repeat Detail'!$I$6:$I$1005,'Repeat Detail'!$A$6:$A$1005,"Daily",'Repeat Detail'!$B$6:$B$1005,$A282))</x:f>
      </x:c>
      <x:c r="C282" s="20" t="str">
        <x:f>IF($A282="","",SUMIFS('Repeat Detail'!$J$6:$J$1005,'Repeat Detail'!$A$6:$A$1005,"Daily",'Repeat Detail'!$B$6:$B$1005,$A282))</x:f>
      </x:c>
      <x:c r="D282" s="20" t="str">
        <x:f>IF($A282="","",SUMIFS('Repeat Detail'!$K$6:$K$1005,'Repeat Detail'!$A$6:$A$1005,"Daily",'Repeat Detail'!$B$6:$B$1005,$A282))</x:f>
      </x:c>
      <x:c r="E282" s="20" t="str">
        <x:f>IF($A282="","",SUMIFS('Repeat Detail'!$L$6:$L$1005,'Repeat Detail'!$A$6:$A$1005,"Daily",'Repeat Detail'!$B$6:$B$1005,$A282))</x:f>
      </x:c>
      <x:c r="F282" s="22" t="str">
        <x:f>IF(A282="","",IF(D282=0,"n.a.",E282/D282))</x:f>
      </x:c>
      <x:c r="G282" s="20" t="str">
        <x:f>IF($A282="","",SUMIFS('Repeat Detail'!$M$6:$M$1005,'Repeat Detail'!$A$6:$A$1005,"Daily",'Repeat Detail'!$B$6:$B$1005,$A282))</x:f>
      </x:c>
      <x:c r="H282" s="22" t="str">
        <x:f>IF(A282="","",IF(C282=0,"n.a.",G282/C282))</x:f>
      </x:c>
      <x:c r="I282" s="20" t="str">
        <x:f>IF($A282="","",SUMIFS('Repeat Detail'!$N$6:$N$1005,'Repeat Detail'!$A$6:$A$1005,"Daily",'Repeat Detail'!$B$6:$B$1005,$A282))</x:f>
      </x:c>
      <x:c r="J282" s="20" t="str">
        <x:f>IF(A282="","",B282-C282)</x:f>
      </x:c>
    </x:row>
    <x:row r="283">
      <x:c r="A283" s="12" t="str">
        <x:f>IF(A282="","",IF(A282+1&gt;IF(AND(COUNTIF('Repeat Detail'!$A$6:$A$1005,"Quality")=21,COUNTIF('Repeat Detail'!$A$6:$A$1005,"Menu")=12,COUNTIF('Repeat Detail'!$A$6:$A$1005,"Daily")=SUMIFS('Repeat Detail'!$O$6:$O$1005,'Repeat Detail'!$A$6:$A$1005,"Quality",'Repeat Detail'!$H$6:$H$1005,"Date span")),SUMIFS('Repeat Detail'!$O$6:$O$1005,'Repeat Detail'!$A$6:$A$1005,"Quality",'Repeat Detail'!$H$6:$H$1005,"Last date"),NA()),"",A282+1))</x:f>
      </x:c>
      <x:c r="B283" s="20" t="str">
        <x:f>IF($A283="","",SUMIFS('Repeat Detail'!$I$6:$I$1005,'Repeat Detail'!$A$6:$A$1005,"Daily",'Repeat Detail'!$B$6:$B$1005,$A283))</x:f>
      </x:c>
      <x:c r="C283" s="20" t="str">
        <x:f>IF($A283="","",SUMIFS('Repeat Detail'!$J$6:$J$1005,'Repeat Detail'!$A$6:$A$1005,"Daily",'Repeat Detail'!$B$6:$B$1005,$A283))</x:f>
      </x:c>
      <x:c r="D283" s="20" t="str">
        <x:f>IF($A283="","",SUMIFS('Repeat Detail'!$K$6:$K$1005,'Repeat Detail'!$A$6:$A$1005,"Daily",'Repeat Detail'!$B$6:$B$1005,$A283))</x:f>
      </x:c>
      <x:c r="E283" s="20" t="str">
        <x:f>IF($A283="","",SUMIFS('Repeat Detail'!$L$6:$L$1005,'Repeat Detail'!$A$6:$A$1005,"Daily",'Repeat Detail'!$B$6:$B$1005,$A283))</x:f>
      </x:c>
      <x:c r="F283" s="22" t="str">
        <x:f>IF(A283="","",IF(D283=0,"n.a.",E283/D283))</x:f>
      </x:c>
      <x:c r="G283" s="20" t="str">
        <x:f>IF($A283="","",SUMIFS('Repeat Detail'!$M$6:$M$1005,'Repeat Detail'!$A$6:$A$1005,"Daily",'Repeat Detail'!$B$6:$B$1005,$A283))</x:f>
      </x:c>
      <x:c r="H283" s="22" t="str">
        <x:f>IF(A283="","",IF(C283=0,"n.a.",G283/C283))</x:f>
      </x:c>
      <x:c r="I283" s="20" t="str">
        <x:f>IF($A283="","",SUMIFS('Repeat Detail'!$N$6:$N$1005,'Repeat Detail'!$A$6:$A$1005,"Daily",'Repeat Detail'!$B$6:$B$1005,$A283))</x:f>
      </x:c>
      <x:c r="J283" s="20" t="str">
        <x:f>IF(A283="","",B283-C283)</x:f>
      </x:c>
    </x:row>
    <x:row r="284">
      <x:c r="A284" s="12" t="str">
        <x:f>IF(A283="","",IF(A283+1&gt;IF(AND(COUNTIF('Repeat Detail'!$A$6:$A$1005,"Quality")=21,COUNTIF('Repeat Detail'!$A$6:$A$1005,"Menu")=12,COUNTIF('Repeat Detail'!$A$6:$A$1005,"Daily")=SUMIFS('Repeat Detail'!$O$6:$O$1005,'Repeat Detail'!$A$6:$A$1005,"Quality",'Repeat Detail'!$H$6:$H$1005,"Date span")),SUMIFS('Repeat Detail'!$O$6:$O$1005,'Repeat Detail'!$A$6:$A$1005,"Quality",'Repeat Detail'!$H$6:$H$1005,"Last date"),NA()),"",A283+1))</x:f>
      </x:c>
      <x:c r="B284" s="20" t="str">
        <x:f>IF($A284="","",SUMIFS('Repeat Detail'!$I$6:$I$1005,'Repeat Detail'!$A$6:$A$1005,"Daily",'Repeat Detail'!$B$6:$B$1005,$A284))</x:f>
      </x:c>
      <x:c r="C284" s="20" t="str">
        <x:f>IF($A284="","",SUMIFS('Repeat Detail'!$J$6:$J$1005,'Repeat Detail'!$A$6:$A$1005,"Daily",'Repeat Detail'!$B$6:$B$1005,$A284))</x:f>
      </x:c>
      <x:c r="D284" s="20" t="str">
        <x:f>IF($A284="","",SUMIFS('Repeat Detail'!$K$6:$K$1005,'Repeat Detail'!$A$6:$A$1005,"Daily",'Repeat Detail'!$B$6:$B$1005,$A284))</x:f>
      </x:c>
      <x:c r="E284" s="20" t="str">
        <x:f>IF($A284="","",SUMIFS('Repeat Detail'!$L$6:$L$1005,'Repeat Detail'!$A$6:$A$1005,"Daily",'Repeat Detail'!$B$6:$B$1005,$A284))</x:f>
      </x:c>
      <x:c r="F284" s="22" t="str">
        <x:f>IF(A284="","",IF(D284=0,"n.a.",E284/D284))</x:f>
      </x:c>
      <x:c r="G284" s="20" t="str">
        <x:f>IF($A284="","",SUMIFS('Repeat Detail'!$M$6:$M$1005,'Repeat Detail'!$A$6:$A$1005,"Daily",'Repeat Detail'!$B$6:$B$1005,$A284))</x:f>
      </x:c>
      <x:c r="H284" s="22" t="str">
        <x:f>IF(A284="","",IF(C284=0,"n.a.",G284/C284))</x:f>
      </x:c>
      <x:c r="I284" s="20" t="str">
        <x:f>IF($A284="","",SUMIFS('Repeat Detail'!$N$6:$N$1005,'Repeat Detail'!$A$6:$A$1005,"Daily",'Repeat Detail'!$B$6:$B$1005,$A284))</x:f>
      </x:c>
      <x:c r="J284" s="20" t="str">
        <x:f>IF(A284="","",B284-C284)</x:f>
      </x:c>
    </x:row>
    <x:row r="285">
      <x:c r="A285" s="12" t="str">
        <x:f>IF(A284="","",IF(A284+1&gt;IF(AND(COUNTIF('Repeat Detail'!$A$6:$A$1005,"Quality")=21,COUNTIF('Repeat Detail'!$A$6:$A$1005,"Menu")=12,COUNTIF('Repeat Detail'!$A$6:$A$1005,"Daily")=SUMIFS('Repeat Detail'!$O$6:$O$1005,'Repeat Detail'!$A$6:$A$1005,"Quality",'Repeat Detail'!$H$6:$H$1005,"Date span")),SUMIFS('Repeat Detail'!$O$6:$O$1005,'Repeat Detail'!$A$6:$A$1005,"Quality",'Repeat Detail'!$H$6:$H$1005,"Last date"),NA()),"",A284+1))</x:f>
      </x:c>
      <x:c r="B285" s="20" t="str">
        <x:f>IF($A285="","",SUMIFS('Repeat Detail'!$I$6:$I$1005,'Repeat Detail'!$A$6:$A$1005,"Daily",'Repeat Detail'!$B$6:$B$1005,$A285))</x:f>
      </x:c>
      <x:c r="C285" s="20" t="str">
        <x:f>IF($A285="","",SUMIFS('Repeat Detail'!$J$6:$J$1005,'Repeat Detail'!$A$6:$A$1005,"Daily",'Repeat Detail'!$B$6:$B$1005,$A285))</x:f>
      </x:c>
      <x:c r="D285" s="20" t="str">
        <x:f>IF($A285="","",SUMIFS('Repeat Detail'!$K$6:$K$1005,'Repeat Detail'!$A$6:$A$1005,"Daily",'Repeat Detail'!$B$6:$B$1005,$A285))</x:f>
      </x:c>
      <x:c r="E285" s="20" t="str">
        <x:f>IF($A285="","",SUMIFS('Repeat Detail'!$L$6:$L$1005,'Repeat Detail'!$A$6:$A$1005,"Daily",'Repeat Detail'!$B$6:$B$1005,$A285))</x:f>
      </x:c>
      <x:c r="F285" s="22" t="str">
        <x:f>IF(A285="","",IF(D285=0,"n.a.",E285/D285))</x:f>
      </x:c>
      <x:c r="G285" s="20" t="str">
        <x:f>IF($A285="","",SUMIFS('Repeat Detail'!$M$6:$M$1005,'Repeat Detail'!$A$6:$A$1005,"Daily",'Repeat Detail'!$B$6:$B$1005,$A285))</x:f>
      </x:c>
      <x:c r="H285" s="22" t="str">
        <x:f>IF(A285="","",IF(C285=0,"n.a.",G285/C285))</x:f>
      </x:c>
      <x:c r="I285" s="20" t="str">
        <x:f>IF($A285="","",SUMIFS('Repeat Detail'!$N$6:$N$1005,'Repeat Detail'!$A$6:$A$1005,"Daily",'Repeat Detail'!$B$6:$B$1005,$A285))</x:f>
      </x:c>
      <x:c r="J285" s="20" t="str">
        <x:f>IF(A285="","",B285-C285)</x:f>
      </x:c>
    </x:row>
    <x:row r="286">
      <x:c r="A286" s="12" t="str">
        <x:f>IF(A285="","",IF(A285+1&gt;IF(AND(COUNTIF('Repeat Detail'!$A$6:$A$1005,"Quality")=21,COUNTIF('Repeat Detail'!$A$6:$A$1005,"Menu")=12,COUNTIF('Repeat Detail'!$A$6:$A$1005,"Daily")=SUMIFS('Repeat Detail'!$O$6:$O$1005,'Repeat Detail'!$A$6:$A$1005,"Quality",'Repeat Detail'!$H$6:$H$1005,"Date span")),SUMIFS('Repeat Detail'!$O$6:$O$1005,'Repeat Detail'!$A$6:$A$1005,"Quality",'Repeat Detail'!$H$6:$H$1005,"Last date"),NA()),"",A285+1))</x:f>
      </x:c>
      <x:c r="B286" s="20" t="str">
        <x:f>IF($A286="","",SUMIFS('Repeat Detail'!$I$6:$I$1005,'Repeat Detail'!$A$6:$A$1005,"Daily",'Repeat Detail'!$B$6:$B$1005,$A286))</x:f>
      </x:c>
      <x:c r="C286" s="20" t="str">
        <x:f>IF($A286="","",SUMIFS('Repeat Detail'!$J$6:$J$1005,'Repeat Detail'!$A$6:$A$1005,"Daily",'Repeat Detail'!$B$6:$B$1005,$A286))</x:f>
      </x:c>
      <x:c r="D286" s="20" t="str">
        <x:f>IF($A286="","",SUMIFS('Repeat Detail'!$K$6:$K$1005,'Repeat Detail'!$A$6:$A$1005,"Daily",'Repeat Detail'!$B$6:$B$1005,$A286))</x:f>
      </x:c>
      <x:c r="E286" s="20" t="str">
        <x:f>IF($A286="","",SUMIFS('Repeat Detail'!$L$6:$L$1005,'Repeat Detail'!$A$6:$A$1005,"Daily",'Repeat Detail'!$B$6:$B$1005,$A286))</x:f>
      </x:c>
      <x:c r="F286" s="22" t="str">
        <x:f>IF(A286="","",IF(D286=0,"n.a.",E286/D286))</x:f>
      </x:c>
      <x:c r="G286" s="20" t="str">
        <x:f>IF($A286="","",SUMIFS('Repeat Detail'!$M$6:$M$1005,'Repeat Detail'!$A$6:$A$1005,"Daily",'Repeat Detail'!$B$6:$B$1005,$A286))</x:f>
      </x:c>
      <x:c r="H286" s="22" t="str">
        <x:f>IF(A286="","",IF(C286=0,"n.a.",G286/C286))</x:f>
      </x:c>
      <x:c r="I286" s="20" t="str">
        <x:f>IF($A286="","",SUMIFS('Repeat Detail'!$N$6:$N$1005,'Repeat Detail'!$A$6:$A$1005,"Daily",'Repeat Detail'!$B$6:$B$1005,$A286))</x:f>
      </x:c>
      <x:c r="J286" s="20" t="str">
        <x:f>IF(A286="","",B286-C286)</x:f>
      </x:c>
    </x:row>
    <x:row r="287">
      <x:c r="A287" s="12" t="str">
        <x:f>IF(A286="","",IF(A286+1&gt;IF(AND(COUNTIF('Repeat Detail'!$A$6:$A$1005,"Quality")=21,COUNTIF('Repeat Detail'!$A$6:$A$1005,"Menu")=12,COUNTIF('Repeat Detail'!$A$6:$A$1005,"Daily")=SUMIFS('Repeat Detail'!$O$6:$O$1005,'Repeat Detail'!$A$6:$A$1005,"Quality",'Repeat Detail'!$H$6:$H$1005,"Date span")),SUMIFS('Repeat Detail'!$O$6:$O$1005,'Repeat Detail'!$A$6:$A$1005,"Quality",'Repeat Detail'!$H$6:$H$1005,"Last date"),NA()),"",A286+1))</x:f>
      </x:c>
      <x:c r="B287" s="20" t="str">
        <x:f>IF($A287="","",SUMIFS('Repeat Detail'!$I$6:$I$1005,'Repeat Detail'!$A$6:$A$1005,"Daily",'Repeat Detail'!$B$6:$B$1005,$A287))</x:f>
      </x:c>
      <x:c r="C287" s="20" t="str">
        <x:f>IF($A287="","",SUMIFS('Repeat Detail'!$J$6:$J$1005,'Repeat Detail'!$A$6:$A$1005,"Daily",'Repeat Detail'!$B$6:$B$1005,$A287))</x:f>
      </x:c>
      <x:c r="D287" s="20" t="str">
        <x:f>IF($A287="","",SUMIFS('Repeat Detail'!$K$6:$K$1005,'Repeat Detail'!$A$6:$A$1005,"Daily",'Repeat Detail'!$B$6:$B$1005,$A287))</x:f>
      </x:c>
      <x:c r="E287" s="20" t="str">
        <x:f>IF($A287="","",SUMIFS('Repeat Detail'!$L$6:$L$1005,'Repeat Detail'!$A$6:$A$1005,"Daily",'Repeat Detail'!$B$6:$B$1005,$A287))</x:f>
      </x:c>
      <x:c r="F287" s="22" t="str">
        <x:f>IF(A287="","",IF(D287=0,"n.a.",E287/D287))</x:f>
      </x:c>
      <x:c r="G287" s="20" t="str">
        <x:f>IF($A287="","",SUMIFS('Repeat Detail'!$M$6:$M$1005,'Repeat Detail'!$A$6:$A$1005,"Daily",'Repeat Detail'!$B$6:$B$1005,$A287))</x:f>
      </x:c>
      <x:c r="H287" s="22" t="str">
        <x:f>IF(A287="","",IF(C287=0,"n.a.",G287/C287))</x:f>
      </x:c>
      <x:c r="I287" s="20" t="str">
        <x:f>IF($A287="","",SUMIFS('Repeat Detail'!$N$6:$N$1005,'Repeat Detail'!$A$6:$A$1005,"Daily",'Repeat Detail'!$B$6:$B$1005,$A287))</x:f>
      </x:c>
      <x:c r="J287" s="20" t="str">
        <x:f>IF(A287="","",B287-C287)</x:f>
      </x:c>
    </x:row>
    <x:row r="288">
      <x:c r="A288" s="12" t="str">
        <x:f>IF(A287="","",IF(A287+1&gt;IF(AND(COUNTIF('Repeat Detail'!$A$6:$A$1005,"Quality")=21,COUNTIF('Repeat Detail'!$A$6:$A$1005,"Menu")=12,COUNTIF('Repeat Detail'!$A$6:$A$1005,"Daily")=SUMIFS('Repeat Detail'!$O$6:$O$1005,'Repeat Detail'!$A$6:$A$1005,"Quality",'Repeat Detail'!$H$6:$H$1005,"Date span")),SUMIFS('Repeat Detail'!$O$6:$O$1005,'Repeat Detail'!$A$6:$A$1005,"Quality",'Repeat Detail'!$H$6:$H$1005,"Last date"),NA()),"",A287+1))</x:f>
      </x:c>
      <x:c r="B288" s="20" t="str">
        <x:f>IF($A288="","",SUMIFS('Repeat Detail'!$I$6:$I$1005,'Repeat Detail'!$A$6:$A$1005,"Daily",'Repeat Detail'!$B$6:$B$1005,$A288))</x:f>
      </x:c>
      <x:c r="C288" s="20" t="str">
        <x:f>IF($A288="","",SUMIFS('Repeat Detail'!$J$6:$J$1005,'Repeat Detail'!$A$6:$A$1005,"Daily",'Repeat Detail'!$B$6:$B$1005,$A288))</x:f>
      </x:c>
      <x:c r="D288" s="20" t="str">
        <x:f>IF($A288="","",SUMIFS('Repeat Detail'!$K$6:$K$1005,'Repeat Detail'!$A$6:$A$1005,"Daily",'Repeat Detail'!$B$6:$B$1005,$A288))</x:f>
      </x:c>
      <x:c r="E288" s="20" t="str">
        <x:f>IF($A288="","",SUMIFS('Repeat Detail'!$L$6:$L$1005,'Repeat Detail'!$A$6:$A$1005,"Daily",'Repeat Detail'!$B$6:$B$1005,$A288))</x:f>
      </x:c>
      <x:c r="F288" s="22" t="str">
        <x:f>IF(A288="","",IF(D288=0,"n.a.",E288/D288))</x:f>
      </x:c>
      <x:c r="G288" s="20" t="str">
        <x:f>IF($A288="","",SUMIFS('Repeat Detail'!$M$6:$M$1005,'Repeat Detail'!$A$6:$A$1005,"Daily",'Repeat Detail'!$B$6:$B$1005,$A288))</x:f>
      </x:c>
      <x:c r="H288" s="22" t="str">
        <x:f>IF(A288="","",IF(C288=0,"n.a.",G288/C288))</x:f>
      </x:c>
      <x:c r="I288" s="20" t="str">
        <x:f>IF($A288="","",SUMIFS('Repeat Detail'!$N$6:$N$1005,'Repeat Detail'!$A$6:$A$1005,"Daily",'Repeat Detail'!$B$6:$B$1005,$A288))</x:f>
      </x:c>
      <x:c r="J288" s="20" t="str">
        <x:f>IF(A288="","",B288-C288)</x:f>
      </x:c>
    </x:row>
    <x:row r="289">
      <x:c r="A289" s="12" t="str">
        <x:f>IF(A288="","",IF(A288+1&gt;IF(AND(COUNTIF('Repeat Detail'!$A$6:$A$1005,"Quality")=21,COUNTIF('Repeat Detail'!$A$6:$A$1005,"Menu")=12,COUNTIF('Repeat Detail'!$A$6:$A$1005,"Daily")=SUMIFS('Repeat Detail'!$O$6:$O$1005,'Repeat Detail'!$A$6:$A$1005,"Quality",'Repeat Detail'!$H$6:$H$1005,"Date span")),SUMIFS('Repeat Detail'!$O$6:$O$1005,'Repeat Detail'!$A$6:$A$1005,"Quality",'Repeat Detail'!$H$6:$H$1005,"Last date"),NA()),"",A288+1))</x:f>
      </x:c>
      <x:c r="B289" s="20" t="str">
        <x:f>IF($A289="","",SUMIFS('Repeat Detail'!$I$6:$I$1005,'Repeat Detail'!$A$6:$A$1005,"Daily",'Repeat Detail'!$B$6:$B$1005,$A289))</x:f>
      </x:c>
      <x:c r="C289" s="20" t="str">
        <x:f>IF($A289="","",SUMIFS('Repeat Detail'!$J$6:$J$1005,'Repeat Detail'!$A$6:$A$1005,"Daily",'Repeat Detail'!$B$6:$B$1005,$A289))</x:f>
      </x:c>
      <x:c r="D289" s="20" t="str">
        <x:f>IF($A289="","",SUMIFS('Repeat Detail'!$K$6:$K$1005,'Repeat Detail'!$A$6:$A$1005,"Daily",'Repeat Detail'!$B$6:$B$1005,$A289))</x:f>
      </x:c>
      <x:c r="E289" s="20" t="str">
        <x:f>IF($A289="","",SUMIFS('Repeat Detail'!$L$6:$L$1005,'Repeat Detail'!$A$6:$A$1005,"Daily",'Repeat Detail'!$B$6:$B$1005,$A289))</x:f>
      </x:c>
      <x:c r="F289" s="22" t="str">
        <x:f>IF(A289="","",IF(D289=0,"n.a.",E289/D289))</x:f>
      </x:c>
      <x:c r="G289" s="20" t="str">
        <x:f>IF($A289="","",SUMIFS('Repeat Detail'!$M$6:$M$1005,'Repeat Detail'!$A$6:$A$1005,"Daily",'Repeat Detail'!$B$6:$B$1005,$A289))</x:f>
      </x:c>
      <x:c r="H289" s="22" t="str">
        <x:f>IF(A289="","",IF(C289=0,"n.a.",G289/C289))</x:f>
      </x:c>
      <x:c r="I289" s="20" t="str">
        <x:f>IF($A289="","",SUMIFS('Repeat Detail'!$N$6:$N$1005,'Repeat Detail'!$A$6:$A$1005,"Daily",'Repeat Detail'!$B$6:$B$1005,$A289))</x:f>
      </x:c>
      <x:c r="J289" s="20" t="str">
        <x:f>IF(A289="","",B289-C289)</x:f>
      </x:c>
    </x:row>
    <x:row r="290">
      <x:c r="A290" s="12" t="str">
        <x:f>IF(A289="","",IF(A289+1&gt;IF(AND(COUNTIF('Repeat Detail'!$A$6:$A$1005,"Quality")=21,COUNTIF('Repeat Detail'!$A$6:$A$1005,"Menu")=12,COUNTIF('Repeat Detail'!$A$6:$A$1005,"Daily")=SUMIFS('Repeat Detail'!$O$6:$O$1005,'Repeat Detail'!$A$6:$A$1005,"Quality",'Repeat Detail'!$H$6:$H$1005,"Date span")),SUMIFS('Repeat Detail'!$O$6:$O$1005,'Repeat Detail'!$A$6:$A$1005,"Quality",'Repeat Detail'!$H$6:$H$1005,"Last date"),NA()),"",A289+1))</x:f>
      </x:c>
      <x:c r="B290" s="20" t="str">
        <x:f>IF($A290="","",SUMIFS('Repeat Detail'!$I$6:$I$1005,'Repeat Detail'!$A$6:$A$1005,"Daily",'Repeat Detail'!$B$6:$B$1005,$A290))</x:f>
      </x:c>
      <x:c r="C290" s="20" t="str">
        <x:f>IF($A290="","",SUMIFS('Repeat Detail'!$J$6:$J$1005,'Repeat Detail'!$A$6:$A$1005,"Daily",'Repeat Detail'!$B$6:$B$1005,$A290))</x:f>
      </x:c>
      <x:c r="D290" s="20" t="str">
        <x:f>IF($A290="","",SUMIFS('Repeat Detail'!$K$6:$K$1005,'Repeat Detail'!$A$6:$A$1005,"Daily",'Repeat Detail'!$B$6:$B$1005,$A290))</x:f>
      </x:c>
      <x:c r="E290" s="20" t="str">
        <x:f>IF($A290="","",SUMIFS('Repeat Detail'!$L$6:$L$1005,'Repeat Detail'!$A$6:$A$1005,"Daily",'Repeat Detail'!$B$6:$B$1005,$A290))</x:f>
      </x:c>
      <x:c r="F290" s="22" t="str">
        <x:f>IF(A290="","",IF(D290=0,"n.a.",E290/D290))</x:f>
      </x:c>
      <x:c r="G290" s="20" t="str">
        <x:f>IF($A290="","",SUMIFS('Repeat Detail'!$M$6:$M$1005,'Repeat Detail'!$A$6:$A$1005,"Daily",'Repeat Detail'!$B$6:$B$1005,$A290))</x:f>
      </x:c>
      <x:c r="H290" s="22" t="str">
        <x:f>IF(A290="","",IF(C290=0,"n.a.",G290/C290))</x:f>
      </x:c>
      <x:c r="I290" s="20" t="str">
        <x:f>IF($A290="","",SUMIFS('Repeat Detail'!$N$6:$N$1005,'Repeat Detail'!$A$6:$A$1005,"Daily",'Repeat Detail'!$B$6:$B$1005,$A290))</x:f>
      </x:c>
      <x:c r="J290" s="20" t="str">
        <x:f>IF(A290="","",B290-C290)</x:f>
      </x:c>
    </x:row>
    <x:row r="291">
      <x:c r="A291" s="12" t="str">
        <x:f>IF(A290="","",IF(A290+1&gt;IF(AND(COUNTIF('Repeat Detail'!$A$6:$A$1005,"Quality")=21,COUNTIF('Repeat Detail'!$A$6:$A$1005,"Menu")=12,COUNTIF('Repeat Detail'!$A$6:$A$1005,"Daily")=SUMIFS('Repeat Detail'!$O$6:$O$1005,'Repeat Detail'!$A$6:$A$1005,"Quality",'Repeat Detail'!$H$6:$H$1005,"Date span")),SUMIFS('Repeat Detail'!$O$6:$O$1005,'Repeat Detail'!$A$6:$A$1005,"Quality",'Repeat Detail'!$H$6:$H$1005,"Last date"),NA()),"",A290+1))</x:f>
      </x:c>
      <x:c r="B291" s="20" t="str">
        <x:f>IF($A291="","",SUMIFS('Repeat Detail'!$I$6:$I$1005,'Repeat Detail'!$A$6:$A$1005,"Daily",'Repeat Detail'!$B$6:$B$1005,$A291))</x:f>
      </x:c>
      <x:c r="C291" s="20" t="str">
        <x:f>IF($A291="","",SUMIFS('Repeat Detail'!$J$6:$J$1005,'Repeat Detail'!$A$6:$A$1005,"Daily",'Repeat Detail'!$B$6:$B$1005,$A291))</x:f>
      </x:c>
      <x:c r="D291" s="20" t="str">
        <x:f>IF($A291="","",SUMIFS('Repeat Detail'!$K$6:$K$1005,'Repeat Detail'!$A$6:$A$1005,"Daily",'Repeat Detail'!$B$6:$B$1005,$A291))</x:f>
      </x:c>
      <x:c r="E291" s="20" t="str">
        <x:f>IF($A291="","",SUMIFS('Repeat Detail'!$L$6:$L$1005,'Repeat Detail'!$A$6:$A$1005,"Daily",'Repeat Detail'!$B$6:$B$1005,$A291))</x:f>
      </x:c>
      <x:c r="F291" s="22" t="str">
        <x:f>IF(A291="","",IF(D291=0,"n.a.",E291/D291))</x:f>
      </x:c>
      <x:c r="G291" s="20" t="str">
        <x:f>IF($A291="","",SUMIFS('Repeat Detail'!$M$6:$M$1005,'Repeat Detail'!$A$6:$A$1005,"Daily",'Repeat Detail'!$B$6:$B$1005,$A291))</x:f>
      </x:c>
      <x:c r="H291" s="22" t="str">
        <x:f>IF(A291="","",IF(C291=0,"n.a.",G291/C291))</x:f>
      </x:c>
      <x:c r="I291" s="20" t="str">
        <x:f>IF($A291="","",SUMIFS('Repeat Detail'!$N$6:$N$1005,'Repeat Detail'!$A$6:$A$1005,"Daily",'Repeat Detail'!$B$6:$B$1005,$A291))</x:f>
      </x:c>
      <x:c r="J291" s="20" t="str">
        <x:f>IF(A291="","",B291-C291)</x:f>
      </x:c>
    </x:row>
    <x:row r="292">
      <x:c r="A292" s="12" t="str">
        <x:f>IF(A291="","",IF(A291+1&gt;IF(AND(COUNTIF('Repeat Detail'!$A$6:$A$1005,"Quality")=21,COUNTIF('Repeat Detail'!$A$6:$A$1005,"Menu")=12,COUNTIF('Repeat Detail'!$A$6:$A$1005,"Daily")=SUMIFS('Repeat Detail'!$O$6:$O$1005,'Repeat Detail'!$A$6:$A$1005,"Quality",'Repeat Detail'!$H$6:$H$1005,"Date span")),SUMIFS('Repeat Detail'!$O$6:$O$1005,'Repeat Detail'!$A$6:$A$1005,"Quality",'Repeat Detail'!$H$6:$H$1005,"Last date"),NA()),"",A291+1))</x:f>
      </x:c>
      <x:c r="B292" s="20" t="str">
        <x:f>IF($A292="","",SUMIFS('Repeat Detail'!$I$6:$I$1005,'Repeat Detail'!$A$6:$A$1005,"Daily",'Repeat Detail'!$B$6:$B$1005,$A292))</x:f>
      </x:c>
      <x:c r="C292" s="20" t="str">
        <x:f>IF($A292="","",SUMIFS('Repeat Detail'!$J$6:$J$1005,'Repeat Detail'!$A$6:$A$1005,"Daily",'Repeat Detail'!$B$6:$B$1005,$A292))</x:f>
      </x:c>
      <x:c r="D292" s="20" t="str">
        <x:f>IF($A292="","",SUMIFS('Repeat Detail'!$K$6:$K$1005,'Repeat Detail'!$A$6:$A$1005,"Daily",'Repeat Detail'!$B$6:$B$1005,$A292))</x:f>
      </x:c>
      <x:c r="E292" s="20" t="str">
        <x:f>IF($A292="","",SUMIFS('Repeat Detail'!$L$6:$L$1005,'Repeat Detail'!$A$6:$A$1005,"Daily",'Repeat Detail'!$B$6:$B$1005,$A292))</x:f>
      </x:c>
      <x:c r="F292" s="22" t="str">
        <x:f>IF(A292="","",IF(D292=0,"n.a.",E292/D292))</x:f>
      </x:c>
      <x:c r="G292" s="20" t="str">
        <x:f>IF($A292="","",SUMIFS('Repeat Detail'!$M$6:$M$1005,'Repeat Detail'!$A$6:$A$1005,"Daily",'Repeat Detail'!$B$6:$B$1005,$A292))</x:f>
      </x:c>
      <x:c r="H292" s="22" t="str">
        <x:f>IF(A292="","",IF(C292=0,"n.a.",G292/C292))</x:f>
      </x:c>
      <x:c r="I292" s="20" t="str">
        <x:f>IF($A292="","",SUMIFS('Repeat Detail'!$N$6:$N$1005,'Repeat Detail'!$A$6:$A$1005,"Daily",'Repeat Detail'!$B$6:$B$1005,$A292))</x:f>
      </x:c>
      <x:c r="J292" s="20" t="str">
        <x:f>IF(A292="","",B292-C292)</x:f>
      </x:c>
    </x:row>
    <x:row r="293">
      <x:c r="A293" s="12" t="str">
        <x:f>IF(A292="","",IF(A292+1&gt;IF(AND(COUNTIF('Repeat Detail'!$A$6:$A$1005,"Quality")=21,COUNTIF('Repeat Detail'!$A$6:$A$1005,"Menu")=12,COUNTIF('Repeat Detail'!$A$6:$A$1005,"Daily")=SUMIFS('Repeat Detail'!$O$6:$O$1005,'Repeat Detail'!$A$6:$A$1005,"Quality",'Repeat Detail'!$H$6:$H$1005,"Date span")),SUMIFS('Repeat Detail'!$O$6:$O$1005,'Repeat Detail'!$A$6:$A$1005,"Quality",'Repeat Detail'!$H$6:$H$1005,"Last date"),NA()),"",A292+1))</x:f>
      </x:c>
      <x:c r="B293" s="20" t="str">
        <x:f>IF($A293="","",SUMIFS('Repeat Detail'!$I$6:$I$1005,'Repeat Detail'!$A$6:$A$1005,"Daily",'Repeat Detail'!$B$6:$B$1005,$A293))</x:f>
      </x:c>
      <x:c r="C293" s="20" t="str">
        <x:f>IF($A293="","",SUMIFS('Repeat Detail'!$J$6:$J$1005,'Repeat Detail'!$A$6:$A$1005,"Daily",'Repeat Detail'!$B$6:$B$1005,$A293))</x:f>
      </x:c>
      <x:c r="D293" s="20" t="str">
        <x:f>IF($A293="","",SUMIFS('Repeat Detail'!$K$6:$K$1005,'Repeat Detail'!$A$6:$A$1005,"Daily",'Repeat Detail'!$B$6:$B$1005,$A293))</x:f>
      </x:c>
      <x:c r="E293" s="20" t="str">
        <x:f>IF($A293="","",SUMIFS('Repeat Detail'!$L$6:$L$1005,'Repeat Detail'!$A$6:$A$1005,"Daily",'Repeat Detail'!$B$6:$B$1005,$A293))</x:f>
      </x:c>
      <x:c r="F293" s="22" t="str">
        <x:f>IF(A293="","",IF(D293=0,"n.a.",E293/D293))</x:f>
      </x:c>
      <x:c r="G293" s="20" t="str">
        <x:f>IF($A293="","",SUMIFS('Repeat Detail'!$M$6:$M$1005,'Repeat Detail'!$A$6:$A$1005,"Daily",'Repeat Detail'!$B$6:$B$1005,$A293))</x:f>
      </x:c>
      <x:c r="H293" s="22" t="str">
        <x:f>IF(A293="","",IF(C293=0,"n.a.",G293/C293))</x:f>
      </x:c>
      <x:c r="I293" s="20" t="str">
        <x:f>IF($A293="","",SUMIFS('Repeat Detail'!$N$6:$N$1005,'Repeat Detail'!$A$6:$A$1005,"Daily",'Repeat Detail'!$B$6:$B$1005,$A293))</x:f>
      </x:c>
      <x:c r="J293" s="20" t="str">
        <x:f>IF(A293="","",B293-C293)</x:f>
      </x:c>
    </x:row>
    <x:row r="294">
      <x:c r="A294" s="12" t="str">
        <x:f>IF(A293="","",IF(A293+1&gt;IF(AND(COUNTIF('Repeat Detail'!$A$6:$A$1005,"Quality")=21,COUNTIF('Repeat Detail'!$A$6:$A$1005,"Menu")=12,COUNTIF('Repeat Detail'!$A$6:$A$1005,"Daily")=SUMIFS('Repeat Detail'!$O$6:$O$1005,'Repeat Detail'!$A$6:$A$1005,"Quality",'Repeat Detail'!$H$6:$H$1005,"Date span")),SUMIFS('Repeat Detail'!$O$6:$O$1005,'Repeat Detail'!$A$6:$A$1005,"Quality",'Repeat Detail'!$H$6:$H$1005,"Last date"),NA()),"",A293+1))</x:f>
      </x:c>
      <x:c r="B294" s="20" t="str">
        <x:f>IF($A294="","",SUMIFS('Repeat Detail'!$I$6:$I$1005,'Repeat Detail'!$A$6:$A$1005,"Daily",'Repeat Detail'!$B$6:$B$1005,$A294))</x:f>
      </x:c>
      <x:c r="C294" s="20" t="str">
        <x:f>IF($A294="","",SUMIFS('Repeat Detail'!$J$6:$J$1005,'Repeat Detail'!$A$6:$A$1005,"Daily",'Repeat Detail'!$B$6:$B$1005,$A294))</x:f>
      </x:c>
      <x:c r="D294" s="20" t="str">
        <x:f>IF($A294="","",SUMIFS('Repeat Detail'!$K$6:$K$1005,'Repeat Detail'!$A$6:$A$1005,"Daily",'Repeat Detail'!$B$6:$B$1005,$A294))</x:f>
      </x:c>
      <x:c r="E294" s="20" t="str">
        <x:f>IF($A294="","",SUMIFS('Repeat Detail'!$L$6:$L$1005,'Repeat Detail'!$A$6:$A$1005,"Daily",'Repeat Detail'!$B$6:$B$1005,$A294))</x:f>
      </x:c>
      <x:c r="F294" s="22" t="str">
        <x:f>IF(A294="","",IF(D294=0,"n.a.",E294/D294))</x:f>
      </x:c>
      <x:c r="G294" s="20" t="str">
        <x:f>IF($A294="","",SUMIFS('Repeat Detail'!$M$6:$M$1005,'Repeat Detail'!$A$6:$A$1005,"Daily",'Repeat Detail'!$B$6:$B$1005,$A294))</x:f>
      </x:c>
      <x:c r="H294" s="22" t="str">
        <x:f>IF(A294="","",IF(C294=0,"n.a.",G294/C294))</x:f>
      </x:c>
      <x:c r="I294" s="20" t="str">
        <x:f>IF($A294="","",SUMIFS('Repeat Detail'!$N$6:$N$1005,'Repeat Detail'!$A$6:$A$1005,"Daily",'Repeat Detail'!$B$6:$B$1005,$A294))</x:f>
      </x:c>
      <x:c r="J294" s="20" t="str">
        <x:f>IF(A294="","",B294-C294)</x:f>
      </x:c>
    </x:row>
    <x:row r="295">
      <x:c r="A295" s="12" t="str">
        <x:f>IF(A294="","",IF(A294+1&gt;IF(AND(COUNTIF('Repeat Detail'!$A$6:$A$1005,"Quality")=21,COUNTIF('Repeat Detail'!$A$6:$A$1005,"Menu")=12,COUNTIF('Repeat Detail'!$A$6:$A$1005,"Daily")=SUMIFS('Repeat Detail'!$O$6:$O$1005,'Repeat Detail'!$A$6:$A$1005,"Quality",'Repeat Detail'!$H$6:$H$1005,"Date span")),SUMIFS('Repeat Detail'!$O$6:$O$1005,'Repeat Detail'!$A$6:$A$1005,"Quality",'Repeat Detail'!$H$6:$H$1005,"Last date"),NA()),"",A294+1))</x:f>
      </x:c>
      <x:c r="B295" s="20" t="str">
        <x:f>IF($A295="","",SUMIFS('Repeat Detail'!$I$6:$I$1005,'Repeat Detail'!$A$6:$A$1005,"Daily",'Repeat Detail'!$B$6:$B$1005,$A295))</x:f>
      </x:c>
      <x:c r="C295" s="20" t="str">
        <x:f>IF($A295="","",SUMIFS('Repeat Detail'!$J$6:$J$1005,'Repeat Detail'!$A$6:$A$1005,"Daily",'Repeat Detail'!$B$6:$B$1005,$A295))</x:f>
      </x:c>
      <x:c r="D295" s="20" t="str">
        <x:f>IF($A295="","",SUMIFS('Repeat Detail'!$K$6:$K$1005,'Repeat Detail'!$A$6:$A$1005,"Daily",'Repeat Detail'!$B$6:$B$1005,$A295))</x:f>
      </x:c>
      <x:c r="E295" s="20" t="str">
        <x:f>IF($A295="","",SUMIFS('Repeat Detail'!$L$6:$L$1005,'Repeat Detail'!$A$6:$A$1005,"Daily",'Repeat Detail'!$B$6:$B$1005,$A295))</x:f>
      </x:c>
      <x:c r="F295" s="22" t="str">
        <x:f>IF(A295="","",IF(D295=0,"n.a.",E295/D295))</x:f>
      </x:c>
      <x:c r="G295" s="20" t="str">
        <x:f>IF($A295="","",SUMIFS('Repeat Detail'!$M$6:$M$1005,'Repeat Detail'!$A$6:$A$1005,"Daily",'Repeat Detail'!$B$6:$B$1005,$A295))</x:f>
      </x:c>
      <x:c r="H295" s="22" t="str">
        <x:f>IF(A295="","",IF(C295=0,"n.a.",G295/C295))</x:f>
      </x:c>
      <x:c r="I295" s="20" t="str">
        <x:f>IF($A295="","",SUMIFS('Repeat Detail'!$N$6:$N$1005,'Repeat Detail'!$A$6:$A$1005,"Daily",'Repeat Detail'!$B$6:$B$1005,$A295))</x:f>
      </x:c>
      <x:c r="J295" s="20" t="str">
        <x:f>IF(A295="","",B295-C295)</x:f>
      </x:c>
    </x:row>
    <x:row r="296">
      <x:c r="A296" s="12" t="str">
        <x:f>IF(A295="","",IF(A295+1&gt;IF(AND(COUNTIF('Repeat Detail'!$A$6:$A$1005,"Quality")=21,COUNTIF('Repeat Detail'!$A$6:$A$1005,"Menu")=12,COUNTIF('Repeat Detail'!$A$6:$A$1005,"Daily")=SUMIFS('Repeat Detail'!$O$6:$O$1005,'Repeat Detail'!$A$6:$A$1005,"Quality",'Repeat Detail'!$H$6:$H$1005,"Date span")),SUMIFS('Repeat Detail'!$O$6:$O$1005,'Repeat Detail'!$A$6:$A$1005,"Quality",'Repeat Detail'!$H$6:$H$1005,"Last date"),NA()),"",A295+1))</x:f>
      </x:c>
      <x:c r="B296" s="20" t="str">
        <x:f>IF($A296="","",SUMIFS('Repeat Detail'!$I$6:$I$1005,'Repeat Detail'!$A$6:$A$1005,"Daily",'Repeat Detail'!$B$6:$B$1005,$A296))</x:f>
      </x:c>
      <x:c r="C296" s="20" t="str">
        <x:f>IF($A296="","",SUMIFS('Repeat Detail'!$J$6:$J$1005,'Repeat Detail'!$A$6:$A$1005,"Daily",'Repeat Detail'!$B$6:$B$1005,$A296))</x:f>
      </x:c>
      <x:c r="D296" s="20" t="str">
        <x:f>IF($A296="","",SUMIFS('Repeat Detail'!$K$6:$K$1005,'Repeat Detail'!$A$6:$A$1005,"Daily",'Repeat Detail'!$B$6:$B$1005,$A296))</x:f>
      </x:c>
      <x:c r="E296" s="20" t="str">
        <x:f>IF($A296="","",SUMIFS('Repeat Detail'!$L$6:$L$1005,'Repeat Detail'!$A$6:$A$1005,"Daily",'Repeat Detail'!$B$6:$B$1005,$A296))</x:f>
      </x:c>
      <x:c r="F296" s="22" t="str">
        <x:f>IF(A296="","",IF(D296=0,"n.a.",E296/D296))</x:f>
      </x:c>
      <x:c r="G296" s="20" t="str">
        <x:f>IF($A296="","",SUMIFS('Repeat Detail'!$M$6:$M$1005,'Repeat Detail'!$A$6:$A$1005,"Daily",'Repeat Detail'!$B$6:$B$1005,$A296))</x:f>
      </x:c>
      <x:c r="H296" s="22" t="str">
        <x:f>IF(A296="","",IF(C296=0,"n.a.",G296/C296))</x:f>
      </x:c>
      <x:c r="I296" s="20" t="str">
        <x:f>IF($A296="","",SUMIFS('Repeat Detail'!$N$6:$N$1005,'Repeat Detail'!$A$6:$A$1005,"Daily",'Repeat Detail'!$B$6:$B$1005,$A296))</x:f>
      </x:c>
      <x:c r="J296" s="20" t="str">
        <x:f>IF(A296="","",B296-C296)</x:f>
      </x:c>
    </x:row>
    <x:row r="297">
      <x:c r="A297" s="12" t="str">
        <x:f>IF(A296="","",IF(A296+1&gt;IF(AND(COUNTIF('Repeat Detail'!$A$6:$A$1005,"Quality")=21,COUNTIF('Repeat Detail'!$A$6:$A$1005,"Menu")=12,COUNTIF('Repeat Detail'!$A$6:$A$1005,"Daily")=SUMIFS('Repeat Detail'!$O$6:$O$1005,'Repeat Detail'!$A$6:$A$1005,"Quality",'Repeat Detail'!$H$6:$H$1005,"Date span")),SUMIFS('Repeat Detail'!$O$6:$O$1005,'Repeat Detail'!$A$6:$A$1005,"Quality",'Repeat Detail'!$H$6:$H$1005,"Last date"),NA()),"",A296+1))</x:f>
      </x:c>
      <x:c r="B297" s="20" t="str">
        <x:f>IF($A297="","",SUMIFS('Repeat Detail'!$I$6:$I$1005,'Repeat Detail'!$A$6:$A$1005,"Daily",'Repeat Detail'!$B$6:$B$1005,$A297))</x:f>
      </x:c>
      <x:c r="C297" s="20" t="str">
        <x:f>IF($A297="","",SUMIFS('Repeat Detail'!$J$6:$J$1005,'Repeat Detail'!$A$6:$A$1005,"Daily",'Repeat Detail'!$B$6:$B$1005,$A297))</x:f>
      </x:c>
      <x:c r="D297" s="20" t="str">
        <x:f>IF($A297="","",SUMIFS('Repeat Detail'!$K$6:$K$1005,'Repeat Detail'!$A$6:$A$1005,"Daily",'Repeat Detail'!$B$6:$B$1005,$A297))</x:f>
      </x:c>
      <x:c r="E297" s="20" t="str">
        <x:f>IF($A297="","",SUMIFS('Repeat Detail'!$L$6:$L$1005,'Repeat Detail'!$A$6:$A$1005,"Daily",'Repeat Detail'!$B$6:$B$1005,$A297))</x:f>
      </x:c>
      <x:c r="F297" s="22" t="str">
        <x:f>IF(A297="","",IF(D297=0,"n.a.",E297/D297))</x:f>
      </x:c>
      <x:c r="G297" s="20" t="str">
        <x:f>IF($A297="","",SUMIFS('Repeat Detail'!$M$6:$M$1005,'Repeat Detail'!$A$6:$A$1005,"Daily",'Repeat Detail'!$B$6:$B$1005,$A297))</x:f>
      </x:c>
      <x:c r="H297" s="22" t="str">
        <x:f>IF(A297="","",IF(C297=0,"n.a.",G297/C297))</x:f>
      </x:c>
      <x:c r="I297" s="20" t="str">
        <x:f>IF($A297="","",SUMIFS('Repeat Detail'!$N$6:$N$1005,'Repeat Detail'!$A$6:$A$1005,"Daily",'Repeat Detail'!$B$6:$B$1005,$A297))</x:f>
      </x:c>
      <x:c r="J297" s="20" t="str">
        <x:f>IF(A297="","",B297-C297)</x:f>
      </x:c>
    </x:row>
    <x:row r="298">
      <x:c r="A298" s="12" t="str">
        <x:f>IF(A297="","",IF(A297+1&gt;IF(AND(COUNTIF('Repeat Detail'!$A$6:$A$1005,"Quality")=21,COUNTIF('Repeat Detail'!$A$6:$A$1005,"Menu")=12,COUNTIF('Repeat Detail'!$A$6:$A$1005,"Daily")=SUMIFS('Repeat Detail'!$O$6:$O$1005,'Repeat Detail'!$A$6:$A$1005,"Quality",'Repeat Detail'!$H$6:$H$1005,"Date span")),SUMIFS('Repeat Detail'!$O$6:$O$1005,'Repeat Detail'!$A$6:$A$1005,"Quality",'Repeat Detail'!$H$6:$H$1005,"Last date"),NA()),"",A297+1))</x:f>
      </x:c>
      <x:c r="B298" s="20" t="str">
        <x:f>IF($A298="","",SUMIFS('Repeat Detail'!$I$6:$I$1005,'Repeat Detail'!$A$6:$A$1005,"Daily",'Repeat Detail'!$B$6:$B$1005,$A298))</x:f>
      </x:c>
      <x:c r="C298" s="20" t="str">
        <x:f>IF($A298="","",SUMIFS('Repeat Detail'!$J$6:$J$1005,'Repeat Detail'!$A$6:$A$1005,"Daily",'Repeat Detail'!$B$6:$B$1005,$A298))</x:f>
      </x:c>
      <x:c r="D298" s="20" t="str">
        <x:f>IF($A298="","",SUMIFS('Repeat Detail'!$K$6:$K$1005,'Repeat Detail'!$A$6:$A$1005,"Daily",'Repeat Detail'!$B$6:$B$1005,$A298))</x:f>
      </x:c>
      <x:c r="E298" s="20" t="str">
        <x:f>IF($A298="","",SUMIFS('Repeat Detail'!$L$6:$L$1005,'Repeat Detail'!$A$6:$A$1005,"Daily",'Repeat Detail'!$B$6:$B$1005,$A298))</x:f>
      </x:c>
      <x:c r="F298" s="22" t="str">
        <x:f>IF(A298="","",IF(D298=0,"n.a.",E298/D298))</x:f>
      </x:c>
      <x:c r="G298" s="20" t="str">
        <x:f>IF($A298="","",SUMIFS('Repeat Detail'!$M$6:$M$1005,'Repeat Detail'!$A$6:$A$1005,"Daily",'Repeat Detail'!$B$6:$B$1005,$A298))</x:f>
      </x:c>
      <x:c r="H298" s="22" t="str">
        <x:f>IF(A298="","",IF(C298=0,"n.a.",G298/C298))</x:f>
      </x:c>
      <x:c r="I298" s="20" t="str">
        <x:f>IF($A298="","",SUMIFS('Repeat Detail'!$N$6:$N$1005,'Repeat Detail'!$A$6:$A$1005,"Daily",'Repeat Detail'!$B$6:$B$1005,$A298))</x:f>
      </x:c>
      <x:c r="J298" s="20" t="str">
        <x:f>IF(A298="","",B298-C298)</x:f>
      </x:c>
    </x:row>
    <x:row r="299">
      <x:c r="A299" s="12" t="str">
        <x:f>IF(A298="","",IF(A298+1&gt;IF(AND(COUNTIF('Repeat Detail'!$A$6:$A$1005,"Quality")=21,COUNTIF('Repeat Detail'!$A$6:$A$1005,"Menu")=12,COUNTIF('Repeat Detail'!$A$6:$A$1005,"Daily")=SUMIFS('Repeat Detail'!$O$6:$O$1005,'Repeat Detail'!$A$6:$A$1005,"Quality",'Repeat Detail'!$H$6:$H$1005,"Date span")),SUMIFS('Repeat Detail'!$O$6:$O$1005,'Repeat Detail'!$A$6:$A$1005,"Quality",'Repeat Detail'!$H$6:$H$1005,"Last date"),NA()),"",A298+1))</x:f>
      </x:c>
      <x:c r="B299" s="20" t="str">
        <x:f>IF($A299="","",SUMIFS('Repeat Detail'!$I$6:$I$1005,'Repeat Detail'!$A$6:$A$1005,"Daily",'Repeat Detail'!$B$6:$B$1005,$A299))</x:f>
      </x:c>
      <x:c r="C299" s="20" t="str">
        <x:f>IF($A299="","",SUMIFS('Repeat Detail'!$J$6:$J$1005,'Repeat Detail'!$A$6:$A$1005,"Daily",'Repeat Detail'!$B$6:$B$1005,$A299))</x:f>
      </x:c>
      <x:c r="D299" s="20" t="str">
        <x:f>IF($A299="","",SUMIFS('Repeat Detail'!$K$6:$K$1005,'Repeat Detail'!$A$6:$A$1005,"Daily",'Repeat Detail'!$B$6:$B$1005,$A299))</x:f>
      </x:c>
      <x:c r="E299" s="20" t="str">
        <x:f>IF($A299="","",SUMIFS('Repeat Detail'!$L$6:$L$1005,'Repeat Detail'!$A$6:$A$1005,"Daily",'Repeat Detail'!$B$6:$B$1005,$A299))</x:f>
      </x:c>
      <x:c r="F299" s="22" t="str">
        <x:f>IF(A299="","",IF(D299=0,"n.a.",E299/D299))</x:f>
      </x:c>
      <x:c r="G299" s="20" t="str">
        <x:f>IF($A299="","",SUMIFS('Repeat Detail'!$M$6:$M$1005,'Repeat Detail'!$A$6:$A$1005,"Daily",'Repeat Detail'!$B$6:$B$1005,$A299))</x:f>
      </x:c>
      <x:c r="H299" s="22" t="str">
        <x:f>IF(A299="","",IF(C299=0,"n.a.",G299/C299))</x:f>
      </x:c>
      <x:c r="I299" s="20" t="str">
        <x:f>IF($A299="","",SUMIFS('Repeat Detail'!$N$6:$N$1005,'Repeat Detail'!$A$6:$A$1005,"Daily",'Repeat Detail'!$B$6:$B$1005,$A299))</x:f>
      </x:c>
      <x:c r="J299" s="20" t="str">
        <x:f>IF(A299="","",B299-C299)</x:f>
      </x:c>
    </x:row>
    <x:row r="300">
      <x:c r="A300" s="12" t="str">
        <x:f>IF(A299="","",IF(A299+1&gt;IF(AND(COUNTIF('Repeat Detail'!$A$6:$A$1005,"Quality")=21,COUNTIF('Repeat Detail'!$A$6:$A$1005,"Menu")=12,COUNTIF('Repeat Detail'!$A$6:$A$1005,"Daily")=SUMIFS('Repeat Detail'!$O$6:$O$1005,'Repeat Detail'!$A$6:$A$1005,"Quality",'Repeat Detail'!$H$6:$H$1005,"Date span")),SUMIFS('Repeat Detail'!$O$6:$O$1005,'Repeat Detail'!$A$6:$A$1005,"Quality",'Repeat Detail'!$H$6:$H$1005,"Last date"),NA()),"",A299+1))</x:f>
      </x:c>
      <x:c r="B300" s="20" t="str">
        <x:f>IF($A300="","",SUMIFS('Repeat Detail'!$I$6:$I$1005,'Repeat Detail'!$A$6:$A$1005,"Daily",'Repeat Detail'!$B$6:$B$1005,$A300))</x:f>
      </x:c>
      <x:c r="C300" s="20" t="str">
        <x:f>IF($A300="","",SUMIFS('Repeat Detail'!$J$6:$J$1005,'Repeat Detail'!$A$6:$A$1005,"Daily",'Repeat Detail'!$B$6:$B$1005,$A300))</x:f>
      </x:c>
      <x:c r="D300" s="20" t="str">
        <x:f>IF($A300="","",SUMIFS('Repeat Detail'!$K$6:$K$1005,'Repeat Detail'!$A$6:$A$1005,"Daily",'Repeat Detail'!$B$6:$B$1005,$A300))</x:f>
      </x:c>
      <x:c r="E300" s="20" t="str">
        <x:f>IF($A300="","",SUMIFS('Repeat Detail'!$L$6:$L$1005,'Repeat Detail'!$A$6:$A$1005,"Daily",'Repeat Detail'!$B$6:$B$1005,$A300))</x:f>
      </x:c>
      <x:c r="F300" s="22" t="str">
        <x:f>IF(A300="","",IF(D300=0,"n.a.",E300/D300))</x:f>
      </x:c>
      <x:c r="G300" s="20" t="str">
        <x:f>IF($A300="","",SUMIFS('Repeat Detail'!$M$6:$M$1005,'Repeat Detail'!$A$6:$A$1005,"Daily",'Repeat Detail'!$B$6:$B$1005,$A300))</x:f>
      </x:c>
      <x:c r="H300" s="22" t="str">
        <x:f>IF(A300="","",IF(C300=0,"n.a.",G300/C300))</x:f>
      </x:c>
      <x:c r="I300" s="20" t="str">
        <x:f>IF($A300="","",SUMIFS('Repeat Detail'!$N$6:$N$1005,'Repeat Detail'!$A$6:$A$1005,"Daily",'Repeat Detail'!$B$6:$B$1005,$A300))</x:f>
      </x:c>
      <x:c r="J300" s="20" t="str">
        <x:f>IF(A300="","",B300-C300)</x:f>
      </x:c>
    </x:row>
    <x:row r="301">
      <x:c r="A301" s="12" t="str">
        <x:f>IF(A300="","",IF(A300+1&gt;IF(AND(COUNTIF('Repeat Detail'!$A$6:$A$1005,"Quality")=21,COUNTIF('Repeat Detail'!$A$6:$A$1005,"Menu")=12,COUNTIF('Repeat Detail'!$A$6:$A$1005,"Daily")=SUMIFS('Repeat Detail'!$O$6:$O$1005,'Repeat Detail'!$A$6:$A$1005,"Quality",'Repeat Detail'!$H$6:$H$1005,"Date span")),SUMIFS('Repeat Detail'!$O$6:$O$1005,'Repeat Detail'!$A$6:$A$1005,"Quality",'Repeat Detail'!$H$6:$H$1005,"Last date"),NA()),"",A300+1))</x:f>
      </x:c>
      <x:c r="B301" s="20" t="str">
        <x:f>IF($A301="","",SUMIFS('Repeat Detail'!$I$6:$I$1005,'Repeat Detail'!$A$6:$A$1005,"Daily",'Repeat Detail'!$B$6:$B$1005,$A301))</x:f>
      </x:c>
      <x:c r="C301" s="20" t="str">
        <x:f>IF($A301="","",SUMIFS('Repeat Detail'!$J$6:$J$1005,'Repeat Detail'!$A$6:$A$1005,"Daily",'Repeat Detail'!$B$6:$B$1005,$A301))</x:f>
      </x:c>
      <x:c r="D301" s="20" t="str">
        <x:f>IF($A301="","",SUMIFS('Repeat Detail'!$K$6:$K$1005,'Repeat Detail'!$A$6:$A$1005,"Daily",'Repeat Detail'!$B$6:$B$1005,$A301))</x:f>
      </x:c>
      <x:c r="E301" s="20" t="str">
        <x:f>IF($A301="","",SUMIFS('Repeat Detail'!$L$6:$L$1005,'Repeat Detail'!$A$6:$A$1005,"Daily",'Repeat Detail'!$B$6:$B$1005,$A301))</x:f>
      </x:c>
      <x:c r="F301" s="22" t="str">
        <x:f>IF(A301="","",IF(D301=0,"n.a.",E301/D301))</x:f>
      </x:c>
      <x:c r="G301" s="20" t="str">
        <x:f>IF($A301="","",SUMIFS('Repeat Detail'!$M$6:$M$1005,'Repeat Detail'!$A$6:$A$1005,"Daily",'Repeat Detail'!$B$6:$B$1005,$A301))</x:f>
      </x:c>
      <x:c r="H301" s="22" t="str">
        <x:f>IF(A301="","",IF(C301=0,"n.a.",G301/C301))</x:f>
      </x:c>
      <x:c r="I301" s="20" t="str">
        <x:f>IF($A301="","",SUMIFS('Repeat Detail'!$N$6:$N$1005,'Repeat Detail'!$A$6:$A$1005,"Daily",'Repeat Detail'!$B$6:$B$1005,$A301))</x:f>
      </x:c>
      <x:c r="J301" s="20" t="str">
        <x:f>IF(A301="","",B301-C301)</x:f>
      </x:c>
    </x:row>
    <x:row r="302">
      <x:c r="A302" s="12" t="str">
        <x:f>IF(A301="","",IF(A301+1&gt;IF(AND(COUNTIF('Repeat Detail'!$A$6:$A$1005,"Quality")=21,COUNTIF('Repeat Detail'!$A$6:$A$1005,"Menu")=12,COUNTIF('Repeat Detail'!$A$6:$A$1005,"Daily")=SUMIFS('Repeat Detail'!$O$6:$O$1005,'Repeat Detail'!$A$6:$A$1005,"Quality",'Repeat Detail'!$H$6:$H$1005,"Date span")),SUMIFS('Repeat Detail'!$O$6:$O$1005,'Repeat Detail'!$A$6:$A$1005,"Quality",'Repeat Detail'!$H$6:$H$1005,"Last date"),NA()),"",A301+1))</x:f>
      </x:c>
      <x:c r="B302" s="20" t="str">
        <x:f>IF($A302="","",SUMIFS('Repeat Detail'!$I$6:$I$1005,'Repeat Detail'!$A$6:$A$1005,"Daily",'Repeat Detail'!$B$6:$B$1005,$A302))</x:f>
      </x:c>
      <x:c r="C302" s="20" t="str">
        <x:f>IF($A302="","",SUMIFS('Repeat Detail'!$J$6:$J$1005,'Repeat Detail'!$A$6:$A$1005,"Daily",'Repeat Detail'!$B$6:$B$1005,$A302))</x:f>
      </x:c>
      <x:c r="D302" s="20" t="str">
        <x:f>IF($A302="","",SUMIFS('Repeat Detail'!$K$6:$K$1005,'Repeat Detail'!$A$6:$A$1005,"Daily",'Repeat Detail'!$B$6:$B$1005,$A302))</x:f>
      </x:c>
      <x:c r="E302" s="20" t="str">
        <x:f>IF($A302="","",SUMIFS('Repeat Detail'!$L$6:$L$1005,'Repeat Detail'!$A$6:$A$1005,"Daily",'Repeat Detail'!$B$6:$B$1005,$A302))</x:f>
      </x:c>
      <x:c r="F302" s="22" t="str">
        <x:f>IF(A302="","",IF(D302=0,"n.a.",E302/D302))</x:f>
      </x:c>
      <x:c r="G302" s="20" t="str">
        <x:f>IF($A302="","",SUMIFS('Repeat Detail'!$M$6:$M$1005,'Repeat Detail'!$A$6:$A$1005,"Daily",'Repeat Detail'!$B$6:$B$1005,$A302))</x:f>
      </x:c>
      <x:c r="H302" s="22" t="str">
        <x:f>IF(A302="","",IF(C302=0,"n.a.",G302/C302))</x:f>
      </x:c>
      <x:c r="I302" s="20" t="str">
        <x:f>IF($A302="","",SUMIFS('Repeat Detail'!$N$6:$N$1005,'Repeat Detail'!$A$6:$A$1005,"Daily",'Repeat Detail'!$B$6:$B$1005,$A302))</x:f>
      </x:c>
      <x:c r="J302" s="20" t="str">
        <x:f>IF(A302="","",B302-C302)</x:f>
      </x:c>
    </x:row>
    <x:row r="303">
      <x:c r="A303" s="12" t="str">
        <x:f>IF(A302="","",IF(A302+1&gt;IF(AND(COUNTIF('Repeat Detail'!$A$6:$A$1005,"Quality")=21,COUNTIF('Repeat Detail'!$A$6:$A$1005,"Menu")=12,COUNTIF('Repeat Detail'!$A$6:$A$1005,"Daily")=SUMIFS('Repeat Detail'!$O$6:$O$1005,'Repeat Detail'!$A$6:$A$1005,"Quality",'Repeat Detail'!$H$6:$H$1005,"Date span")),SUMIFS('Repeat Detail'!$O$6:$O$1005,'Repeat Detail'!$A$6:$A$1005,"Quality",'Repeat Detail'!$H$6:$H$1005,"Last date"),NA()),"",A302+1))</x:f>
      </x:c>
      <x:c r="B303" s="20" t="str">
        <x:f>IF($A303="","",SUMIFS('Repeat Detail'!$I$6:$I$1005,'Repeat Detail'!$A$6:$A$1005,"Daily",'Repeat Detail'!$B$6:$B$1005,$A303))</x:f>
      </x:c>
      <x:c r="C303" s="20" t="str">
        <x:f>IF($A303="","",SUMIFS('Repeat Detail'!$J$6:$J$1005,'Repeat Detail'!$A$6:$A$1005,"Daily",'Repeat Detail'!$B$6:$B$1005,$A303))</x:f>
      </x:c>
      <x:c r="D303" s="20" t="str">
        <x:f>IF($A303="","",SUMIFS('Repeat Detail'!$K$6:$K$1005,'Repeat Detail'!$A$6:$A$1005,"Daily",'Repeat Detail'!$B$6:$B$1005,$A303))</x:f>
      </x:c>
      <x:c r="E303" s="20" t="str">
        <x:f>IF($A303="","",SUMIFS('Repeat Detail'!$L$6:$L$1005,'Repeat Detail'!$A$6:$A$1005,"Daily",'Repeat Detail'!$B$6:$B$1005,$A303))</x:f>
      </x:c>
      <x:c r="F303" s="22" t="str">
        <x:f>IF(A303="","",IF(D303=0,"n.a.",E303/D303))</x:f>
      </x:c>
      <x:c r="G303" s="20" t="str">
        <x:f>IF($A303="","",SUMIFS('Repeat Detail'!$M$6:$M$1005,'Repeat Detail'!$A$6:$A$1005,"Daily",'Repeat Detail'!$B$6:$B$1005,$A303))</x:f>
      </x:c>
      <x:c r="H303" s="22" t="str">
        <x:f>IF(A303="","",IF(C303=0,"n.a.",G303/C303))</x:f>
      </x:c>
      <x:c r="I303" s="20" t="str">
        <x:f>IF($A303="","",SUMIFS('Repeat Detail'!$N$6:$N$1005,'Repeat Detail'!$A$6:$A$1005,"Daily",'Repeat Detail'!$B$6:$B$1005,$A303))</x:f>
      </x:c>
      <x:c r="J303" s="20" t="str">
        <x:f>IF(A303="","",B303-C303)</x:f>
      </x:c>
    </x:row>
    <x:row r="304">
      <x:c r="A304" s="12" t="str">
        <x:f>IF(A303="","",IF(A303+1&gt;IF(AND(COUNTIF('Repeat Detail'!$A$6:$A$1005,"Quality")=21,COUNTIF('Repeat Detail'!$A$6:$A$1005,"Menu")=12,COUNTIF('Repeat Detail'!$A$6:$A$1005,"Daily")=SUMIFS('Repeat Detail'!$O$6:$O$1005,'Repeat Detail'!$A$6:$A$1005,"Quality",'Repeat Detail'!$H$6:$H$1005,"Date span")),SUMIFS('Repeat Detail'!$O$6:$O$1005,'Repeat Detail'!$A$6:$A$1005,"Quality",'Repeat Detail'!$H$6:$H$1005,"Last date"),NA()),"",A303+1))</x:f>
      </x:c>
      <x:c r="B304" s="20" t="str">
        <x:f>IF($A304="","",SUMIFS('Repeat Detail'!$I$6:$I$1005,'Repeat Detail'!$A$6:$A$1005,"Daily",'Repeat Detail'!$B$6:$B$1005,$A304))</x:f>
      </x:c>
      <x:c r="C304" s="20" t="str">
        <x:f>IF($A304="","",SUMIFS('Repeat Detail'!$J$6:$J$1005,'Repeat Detail'!$A$6:$A$1005,"Daily",'Repeat Detail'!$B$6:$B$1005,$A304))</x:f>
      </x:c>
      <x:c r="D304" s="20" t="str">
        <x:f>IF($A304="","",SUMIFS('Repeat Detail'!$K$6:$K$1005,'Repeat Detail'!$A$6:$A$1005,"Daily",'Repeat Detail'!$B$6:$B$1005,$A304))</x:f>
      </x:c>
      <x:c r="E304" s="20" t="str">
        <x:f>IF($A304="","",SUMIFS('Repeat Detail'!$L$6:$L$1005,'Repeat Detail'!$A$6:$A$1005,"Daily",'Repeat Detail'!$B$6:$B$1005,$A304))</x:f>
      </x:c>
      <x:c r="F304" s="22" t="str">
        <x:f>IF(A304="","",IF(D304=0,"n.a.",E304/D304))</x:f>
      </x:c>
      <x:c r="G304" s="20" t="str">
        <x:f>IF($A304="","",SUMIFS('Repeat Detail'!$M$6:$M$1005,'Repeat Detail'!$A$6:$A$1005,"Daily",'Repeat Detail'!$B$6:$B$1005,$A304))</x:f>
      </x:c>
      <x:c r="H304" s="22" t="str">
        <x:f>IF(A304="","",IF(C304=0,"n.a.",G304/C304))</x:f>
      </x:c>
      <x:c r="I304" s="20" t="str">
        <x:f>IF($A304="","",SUMIFS('Repeat Detail'!$N$6:$N$1005,'Repeat Detail'!$A$6:$A$1005,"Daily",'Repeat Detail'!$B$6:$B$1005,$A304))</x:f>
      </x:c>
      <x:c r="J304" s="20" t="str">
        <x:f>IF(A304="","",B304-C304)</x:f>
      </x:c>
    </x:row>
    <x:row r="305">
      <x:c r="A305" s="12" t="str">
        <x:f>IF(A304="","",IF(A304+1&gt;IF(AND(COUNTIF('Repeat Detail'!$A$6:$A$1005,"Quality")=21,COUNTIF('Repeat Detail'!$A$6:$A$1005,"Menu")=12,COUNTIF('Repeat Detail'!$A$6:$A$1005,"Daily")=SUMIFS('Repeat Detail'!$O$6:$O$1005,'Repeat Detail'!$A$6:$A$1005,"Quality",'Repeat Detail'!$H$6:$H$1005,"Date span")),SUMIFS('Repeat Detail'!$O$6:$O$1005,'Repeat Detail'!$A$6:$A$1005,"Quality",'Repeat Detail'!$H$6:$H$1005,"Last date"),NA()),"",A304+1))</x:f>
      </x:c>
      <x:c r="B305" s="20" t="str">
        <x:f>IF($A305="","",SUMIFS('Repeat Detail'!$I$6:$I$1005,'Repeat Detail'!$A$6:$A$1005,"Daily",'Repeat Detail'!$B$6:$B$1005,$A305))</x:f>
      </x:c>
      <x:c r="C305" s="20" t="str">
        <x:f>IF($A305="","",SUMIFS('Repeat Detail'!$J$6:$J$1005,'Repeat Detail'!$A$6:$A$1005,"Daily",'Repeat Detail'!$B$6:$B$1005,$A305))</x:f>
      </x:c>
      <x:c r="D305" s="20" t="str">
        <x:f>IF($A305="","",SUMIFS('Repeat Detail'!$K$6:$K$1005,'Repeat Detail'!$A$6:$A$1005,"Daily",'Repeat Detail'!$B$6:$B$1005,$A305))</x:f>
      </x:c>
      <x:c r="E305" s="20" t="str">
        <x:f>IF($A305="","",SUMIFS('Repeat Detail'!$L$6:$L$1005,'Repeat Detail'!$A$6:$A$1005,"Daily",'Repeat Detail'!$B$6:$B$1005,$A305))</x:f>
      </x:c>
      <x:c r="F305" s="22" t="str">
        <x:f>IF(A305="","",IF(D305=0,"n.a.",E305/D305))</x:f>
      </x:c>
      <x:c r="G305" s="20" t="str">
        <x:f>IF($A305="","",SUMIFS('Repeat Detail'!$M$6:$M$1005,'Repeat Detail'!$A$6:$A$1005,"Daily",'Repeat Detail'!$B$6:$B$1005,$A305))</x:f>
      </x:c>
      <x:c r="H305" s="22" t="str">
        <x:f>IF(A305="","",IF(C305=0,"n.a.",G305/C305))</x:f>
      </x:c>
      <x:c r="I305" s="20" t="str">
        <x:f>IF($A305="","",SUMIFS('Repeat Detail'!$N$6:$N$1005,'Repeat Detail'!$A$6:$A$1005,"Daily",'Repeat Detail'!$B$6:$B$1005,$A305))</x:f>
      </x:c>
      <x:c r="J305" s="20" t="str">
        <x:f>IF(A305="","",B305-C305)</x:f>
      </x:c>
    </x:row>
    <x:row r="306">
      <x:c r="A306" s="12" t="str">
        <x:f>IF(A305="","",IF(A305+1&gt;IF(AND(COUNTIF('Repeat Detail'!$A$6:$A$1005,"Quality")=21,COUNTIF('Repeat Detail'!$A$6:$A$1005,"Menu")=12,COUNTIF('Repeat Detail'!$A$6:$A$1005,"Daily")=SUMIFS('Repeat Detail'!$O$6:$O$1005,'Repeat Detail'!$A$6:$A$1005,"Quality",'Repeat Detail'!$H$6:$H$1005,"Date span")),SUMIFS('Repeat Detail'!$O$6:$O$1005,'Repeat Detail'!$A$6:$A$1005,"Quality",'Repeat Detail'!$H$6:$H$1005,"Last date"),NA()),"",A305+1))</x:f>
      </x:c>
      <x:c r="B306" s="20" t="str">
        <x:f>IF($A306="","",SUMIFS('Repeat Detail'!$I$6:$I$1005,'Repeat Detail'!$A$6:$A$1005,"Daily",'Repeat Detail'!$B$6:$B$1005,$A306))</x:f>
      </x:c>
      <x:c r="C306" s="20" t="str">
        <x:f>IF($A306="","",SUMIFS('Repeat Detail'!$J$6:$J$1005,'Repeat Detail'!$A$6:$A$1005,"Daily",'Repeat Detail'!$B$6:$B$1005,$A306))</x:f>
      </x:c>
      <x:c r="D306" s="20" t="str">
        <x:f>IF($A306="","",SUMIFS('Repeat Detail'!$K$6:$K$1005,'Repeat Detail'!$A$6:$A$1005,"Daily",'Repeat Detail'!$B$6:$B$1005,$A306))</x:f>
      </x:c>
      <x:c r="E306" s="20" t="str">
        <x:f>IF($A306="","",SUMIFS('Repeat Detail'!$L$6:$L$1005,'Repeat Detail'!$A$6:$A$1005,"Daily",'Repeat Detail'!$B$6:$B$1005,$A306))</x:f>
      </x:c>
      <x:c r="F306" s="22" t="str">
        <x:f>IF(A306="","",IF(D306=0,"n.a.",E306/D306))</x:f>
      </x:c>
      <x:c r="G306" s="20" t="str">
        <x:f>IF($A306="","",SUMIFS('Repeat Detail'!$M$6:$M$1005,'Repeat Detail'!$A$6:$A$1005,"Daily",'Repeat Detail'!$B$6:$B$1005,$A306))</x:f>
      </x:c>
      <x:c r="H306" s="22" t="str">
        <x:f>IF(A306="","",IF(C306=0,"n.a.",G306/C306))</x:f>
      </x:c>
      <x:c r="I306" s="20" t="str">
        <x:f>IF($A306="","",SUMIFS('Repeat Detail'!$N$6:$N$1005,'Repeat Detail'!$A$6:$A$1005,"Daily",'Repeat Detail'!$B$6:$B$1005,$A306))</x:f>
      </x:c>
      <x:c r="J306" s="20" t="str">
        <x:f>IF(A306="","",B306-C306)</x:f>
      </x:c>
    </x:row>
    <x:row r="307">
      <x:c r="A307" s="12" t="str">
        <x:f>IF(A306="","",IF(A306+1&gt;IF(AND(COUNTIF('Repeat Detail'!$A$6:$A$1005,"Quality")=21,COUNTIF('Repeat Detail'!$A$6:$A$1005,"Menu")=12,COUNTIF('Repeat Detail'!$A$6:$A$1005,"Daily")=SUMIFS('Repeat Detail'!$O$6:$O$1005,'Repeat Detail'!$A$6:$A$1005,"Quality",'Repeat Detail'!$H$6:$H$1005,"Date span")),SUMIFS('Repeat Detail'!$O$6:$O$1005,'Repeat Detail'!$A$6:$A$1005,"Quality",'Repeat Detail'!$H$6:$H$1005,"Last date"),NA()),"",A306+1))</x:f>
      </x:c>
      <x:c r="B307" s="20" t="str">
        <x:f>IF($A307="","",SUMIFS('Repeat Detail'!$I$6:$I$1005,'Repeat Detail'!$A$6:$A$1005,"Daily",'Repeat Detail'!$B$6:$B$1005,$A307))</x:f>
      </x:c>
      <x:c r="C307" s="20" t="str">
        <x:f>IF($A307="","",SUMIFS('Repeat Detail'!$J$6:$J$1005,'Repeat Detail'!$A$6:$A$1005,"Daily",'Repeat Detail'!$B$6:$B$1005,$A307))</x:f>
      </x:c>
      <x:c r="D307" s="20" t="str">
        <x:f>IF($A307="","",SUMIFS('Repeat Detail'!$K$6:$K$1005,'Repeat Detail'!$A$6:$A$1005,"Daily",'Repeat Detail'!$B$6:$B$1005,$A307))</x:f>
      </x:c>
      <x:c r="E307" s="20" t="str">
        <x:f>IF($A307="","",SUMIFS('Repeat Detail'!$L$6:$L$1005,'Repeat Detail'!$A$6:$A$1005,"Daily",'Repeat Detail'!$B$6:$B$1005,$A307))</x:f>
      </x:c>
      <x:c r="F307" s="22" t="str">
        <x:f>IF(A307="","",IF(D307=0,"n.a.",E307/D307))</x:f>
      </x:c>
      <x:c r="G307" s="20" t="str">
        <x:f>IF($A307="","",SUMIFS('Repeat Detail'!$M$6:$M$1005,'Repeat Detail'!$A$6:$A$1005,"Daily",'Repeat Detail'!$B$6:$B$1005,$A307))</x:f>
      </x:c>
      <x:c r="H307" s="22" t="str">
        <x:f>IF(A307="","",IF(C307=0,"n.a.",G307/C307))</x:f>
      </x:c>
      <x:c r="I307" s="20" t="str">
        <x:f>IF($A307="","",SUMIFS('Repeat Detail'!$N$6:$N$1005,'Repeat Detail'!$A$6:$A$1005,"Daily",'Repeat Detail'!$B$6:$B$1005,$A307))</x:f>
      </x:c>
      <x:c r="J307" s="20" t="str">
        <x:f>IF(A307="","",B307-C307)</x:f>
      </x:c>
    </x:row>
    <x:row r="308">
      <x:c r="A308" s="12" t="str">
        <x:f>IF(A307="","",IF(A307+1&gt;IF(AND(COUNTIF('Repeat Detail'!$A$6:$A$1005,"Quality")=21,COUNTIF('Repeat Detail'!$A$6:$A$1005,"Menu")=12,COUNTIF('Repeat Detail'!$A$6:$A$1005,"Daily")=SUMIFS('Repeat Detail'!$O$6:$O$1005,'Repeat Detail'!$A$6:$A$1005,"Quality",'Repeat Detail'!$H$6:$H$1005,"Date span")),SUMIFS('Repeat Detail'!$O$6:$O$1005,'Repeat Detail'!$A$6:$A$1005,"Quality",'Repeat Detail'!$H$6:$H$1005,"Last date"),NA()),"",A307+1))</x:f>
      </x:c>
      <x:c r="B308" s="20" t="str">
        <x:f>IF($A308="","",SUMIFS('Repeat Detail'!$I$6:$I$1005,'Repeat Detail'!$A$6:$A$1005,"Daily",'Repeat Detail'!$B$6:$B$1005,$A308))</x:f>
      </x:c>
      <x:c r="C308" s="20" t="str">
        <x:f>IF($A308="","",SUMIFS('Repeat Detail'!$J$6:$J$1005,'Repeat Detail'!$A$6:$A$1005,"Daily",'Repeat Detail'!$B$6:$B$1005,$A308))</x:f>
      </x:c>
      <x:c r="D308" s="20" t="str">
        <x:f>IF($A308="","",SUMIFS('Repeat Detail'!$K$6:$K$1005,'Repeat Detail'!$A$6:$A$1005,"Daily",'Repeat Detail'!$B$6:$B$1005,$A308))</x:f>
      </x:c>
      <x:c r="E308" s="20" t="str">
        <x:f>IF($A308="","",SUMIFS('Repeat Detail'!$L$6:$L$1005,'Repeat Detail'!$A$6:$A$1005,"Daily",'Repeat Detail'!$B$6:$B$1005,$A308))</x:f>
      </x:c>
      <x:c r="F308" s="22" t="str">
        <x:f>IF(A308="","",IF(D308=0,"n.a.",E308/D308))</x:f>
      </x:c>
      <x:c r="G308" s="20" t="str">
        <x:f>IF($A308="","",SUMIFS('Repeat Detail'!$M$6:$M$1005,'Repeat Detail'!$A$6:$A$1005,"Daily",'Repeat Detail'!$B$6:$B$1005,$A308))</x:f>
      </x:c>
      <x:c r="H308" s="22" t="str">
        <x:f>IF(A308="","",IF(C308=0,"n.a.",G308/C308))</x:f>
      </x:c>
      <x:c r="I308" s="20" t="str">
        <x:f>IF($A308="","",SUMIFS('Repeat Detail'!$N$6:$N$1005,'Repeat Detail'!$A$6:$A$1005,"Daily",'Repeat Detail'!$B$6:$B$1005,$A308))</x:f>
      </x:c>
      <x:c r="J308" s="20" t="str">
        <x:f>IF(A308="","",B308-C308)</x:f>
      </x:c>
    </x:row>
    <x:row r="309">
      <x:c r="A309" s="12" t="str">
        <x:f>IF(A308="","",IF(A308+1&gt;IF(AND(COUNTIF('Repeat Detail'!$A$6:$A$1005,"Quality")=21,COUNTIF('Repeat Detail'!$A$6:$A$1005,"Menu")=12,COUNTIF('Repeat Detail'!$A$6:$A$1005,"Daily")=SUMIFS('Repeat Detail'!$O$6:$O$1005,'Repeat Detail'!$A$6:$A$1005,"Quality",'Repeat Detail'!$H$6:$H$1005,"Date span")),SUMIFS('Repeat Detail'!$O$6:$O$1005,'Repeat Detail'!$A$6:$A$1005,"Quality",'Repeat Detail'!$H$6:$H$1005,"Last date"),NA()),"",A308+1))</x:f>
      </x:c>
      <x:c r="B309" s="20" t="str">
        <x:f>IF($A309="","",SUMIFS('Repeat Detail'!$I$6:$I$1005,'Repeat Detail'!$A$6:$A$1005,"Daily",'Repeat Detail'!$B$6:$B$1005,$A309))</x:f>
      </x:c>
      <x:c r="C309" s="20" t="str">
        <x:f>IF($A309="","",SUMIFS('Repeat Detail'!$J$6:$J$1005,'Repeat Detail'!$A$6:$A$1005,"Daily",'Repeat Detail'!$B$6:$B$1005,$A309))</x:f>
      </x:c>
      <x:c r="D309" s="20" t="str">
        <x:f>IF($A309="","",SUMIFS('Repeat Detail'!$K$6:$K$1005,'Repeat Detail'!$A$6:$A$1005,"Daily",'Repeat Detail'!$B$6:$B$1005,$A309))</x:f>
      </x:c>
      <x:c r="E309" s="20" t="str">
        <x:f>IF($A309="","",SUMIFS('Repeat Detail'!$L$6:$L$1005,'Repeat Detail'!$A$6:$A$1005,"Daily",'Repeat Detail'!$B$6:$B$1005,$A309))</x:f>
      </x:c>
      <x:c r="F309" s="22" t="str">
        <x:f>IF(A309="","",IF(D309=0,"n.a.",E309/D309))</x:f>
      </x:c>
      <x:c r="G309" s="20" t="str">
        <x:f>IF($A309="","",SUMIFS('Repeat Detail'!$M$6:$M$1005,'Repeat Detail'!$A$6:$A$1005,"Daily",'Repeat Detail'!$B$6:$B$1005,$A309))</x:f>
      </x:c>
      <x:c r="H309" s="22" t="str">
        <x:f>IF(A309="","",IF(C309=0,"n.a.",G309/C309))</x:f>
      </x:c>
      <x:c r="I309" s="20" t="str">
        <x:f>IF($A309="","",SUMIFS('Repeat Detail'!$N$6:$N$1005,'Repeat Detail'!$A$6:$A$1005,"Daily",'Repeat Detail'!$B$6:$B$1005,$A309))</x:f>
      </x:c>
      <x:c r="J309" s="20" t="str">
        <x:f>IF(A309="","",B309-C309)</x:f>
      </x:c>
    </x:row>
    <x:row r="310">
      <x:c r="A310" s="12" t="str">
        <x:f>IF(A309="","",IF(A309+1&gt;IF(AND(COUNTIF('Repeat Detail'!$A$6:$A$1005,"Quality")=21,COUNTIF('Repeat Detail'!$A$6:$A$1005,"Menu")=12,COUNTIF('Repeat Detail'!$A$6:$A$1005,"Daily")=SUMIFS('Repeat Detail'!$O$6:$O$1005,'Repeat Detail'!$A$6:$A$1005,"Quality",'Repeat Detail'!$H$6:$H$1005,"Date span")),SUMIFS('Repeat Detail'!$O$6:$O$1005,'Repeat Detail'!$A$6:$A$1005,"Quality",'Repeat Detail'!$H$6:$H$1005,"Last date"),NA()),"",A309+1))</x:f>
      </x:c>
      <x:c r="B310" s="20" t="str">
        <x:f>IF($A310="","",SUMIFS('Repeat Detail'!$I$6:$I$1005,'Repeat Detail'!$A$6:$A$1005,"Daily",'Repeat Detail'!$B$6:$B$1005,$A310))</x:f>
      </x:c>
      <x:c r="C310" s="20" t="str">
        <x:f>IF($A310="","",SUMIFS('Repeat Detail'!$J$6:$J$1005,'Repeat Detail'!$A$6:$A$1005,"Daily",'Repeat Detail'!$B$6:$B$1005,$A310))</x:f>
      </x:c>
      <x:c r="D310" s="20" t="str">
        <x:f>IF($A310="","",SUMIFS('Repeat Detail'!$K$6:$K$1005,'Repeat Detail'!$A$6:$A$1005,"Daily",'Repeat Detail'!$B$6:$B$1005,$A310))</x:f>
      </x:c>
      <x:c r="E310" s="20" t="str">
        <x:f>IF($A310="","",SUMIFS('Repeat Detail'!$L$6:$L$1005,'Repeat Detail'!$A$6:$A$1005,"Daily",'Repeat Detail'!$B$6:$B$1005,$A310))</x:f>
      </x:c>
      <x:c r="F310" s="22" t="str">
        <x:f>IF(A310="","",IF(D310=0,"n.a.",E310/D310))</x:f>
      </x:c>
      <x:c r="G310" s="20" t="str">
        <x:f>IF($A310="","",SUMIFS('Repeat Detail'!$M$6:$M$1005,'Repeat Detail'!$A$6:$A$1005,"Daily",'Repeat Detail'!$B$6:$B$1005,$A310))</x:f>
      </x:c>
      <x:c r="H310" s="22" t="str">
        <x:f>IF(A310="","",IF(C310=0,"n.a.",G310/C310))</x:f>
      </x:c>
      <x:c r="I310" s="20" t="str">
        <x:f>IF($A310="","",SUMIFS('Repeat Detail'!$N$6:$N$1005,'Repeat Detail'!$A$6:$A$1005,"Daily",'Repeat Detail'!$B$6:$B$1005,$A310))</x:f>
      </x:c>
      <x:c r="J310" s="20" t="str">
        <x:f>IF(A310="","",B310-C310)</x:f>
      </x:c>
    </x:row>
    <x:row r="311">
      <x:c r="A311" s="12" t="str">
        <x:f>IF(A310="","",IF(A310+1&gt;IF(AND(COUNTIF('Repeat Detail'!$A$6:$A$1005,"Quality")=21,COUNTIF('Repeat Detail'!$A$6:$A$1005,"Menu")=12,COUNTIF('Repeat Detail'!$A$6:$A$1005,"Daily")=SUMIFS('Repeat Detail'!$O$6:$O$1005,'Repeat Detail'!$A$6:$A$1005,"Quality",'Repeat Detail'!$H$6:$H$1005,"Date span")),SUMIFS('Repeat Detail'!$O$6:$O$1005,'Repeat Detail'!$A$6:$A$1005,"Quality",'Repeat Detail'!$H$6:$H$1005,"Last date"),NA()),"",A310+1))</x:f>
      </x:c>
      <x:c r="B311" s="20" t="str">
        <x:f>IF($A311="","",SUMIFS('Repeat Detail'!$I$6:$I$1005,'Repeat Detail'!$A$6:$A$1005,"Daily",'Repeat Detail'!$B$6:$B$1005,$A311))</x:f>
      </x:c>
      <x:c r="C311" s="20" t="str">
        <x:f>IF($A311="","",SUMIFS('Repeat Detail'!$J$6:$J$1005,'Repeat Detail'!$A$6:$A$1005,"Daily",'Repeat Detail'!$B$6:$B$1005,$A311))</x:f>
      </x:c>
      <x:c r="D311" s="20" t="str">
        <x:f>IF($A311="","",SUMIFS('Repeat Detail'!$K$6:$K$1005,'Repeat Detail'!$A$6:$A$1005,"Daily",'Repeat Detail'!$B$6:$B$1005,$A311))</x:f>
      </x:c>
      <x:c r="E311" s="20" t="str">
        <x:f>IF($A311="","",SUMIFS('Repeat Detail'!$L$6:$L$1005,'Repeat Detail'!$A$6:$A$1005,"Daily",'Repeat Detail'!$B$6:$B$1005,$A311))</x:f>
      </x:c>
      <x:c r="F311" s="22" t="str">
        <x:f>IF(A311="","",IF(D311=0,"n.a.",E311/D311))</x:f>
      </x:c>
      <x:c r="G311" s="20" t="str">
        <x:f>IF($A311="","",SUMIFS('Repeat Detail'!$M$6:$M$1005,'Repeat Detail'!$A$6:$A$1005,"Daily",'Repeat Detail'!$B$6:$B$1005,$A311))</x:f>
      </x:c>
      <x:c r="H311" s="22" t="str">
        <x:f>IF(A311="","",IF(C311=0,"n.a.",G311/C311))</x:f>
      </x:c>
      <x:c r="I311" s="20" t="str">
        <x:f>IF($A311="","",SUMIFS('Repeat Detail'!$N$6:$N$1005,'Repeat Detail'!$A$6:$A$1005,"Daily",'Repeat Detail'!$B$6:$B$1005,$A311))</x:f>
      </x:c>
      <x:c r="J311" s="20" t="str">
        <x:f>IF(A311="","",B311-C311)</x:f>
      </x:c>
    </x:row>
    <x:row r="312">
      <x:c r="A312" s="12" t="str">
        <x:f>IF(A311="","",IF(A311+1&gt;IF(AND(COUNTIF('Repeat Detail'!$A$6:$A$1005,"Quality")=21,COUNTIF('Repeat Detail'!$A$6:$A$1005,"Menu")=12,COUNTIF('Repeat Detail'!$A$6:$A$1005,"Daily")=SUMIFS('Repeat Detail'!$O$6:$O$1005,'Repeat Detail'!$A$6:$A$1005,"Quality",'Repeat Detail'!$H$6:$H$1005,"Date span")),SUMIFS('Repeat Detail'!$O$6:$O$1005,'Repeat Detail'!$A$6:$A$1005,"Quality",'Repeat Detail'!$H$6:$H$1005,"Last date"),NA()),"",A311+1))</x:f>
      </x:c>
      <x:c r="B312" s="20" t="str">
        <x:f>IF($A312="","",SUMIFS('Repeat Detail'!$I$6:$I$1005,'Repeat Detail'!$A$6:$A$1005,"Daily",'Repeat Detail'!$B$6:$B$1005,$A312))</x:f>
      </x:c>
      <x:c r="C312" s="20" t="str">
        <x:f>IF($A312="","",SUMIFS('Repeat Detail'!$J$6:$J$1005,'Repeat Detail'!$A$6:$A$1005,"Daily",'Repeat Detail'!$B$6:$B$1005,$A312))</x:f>
      </x:c>
      <x:c r="D312" s="20" t="str">
        <x:f>IF($A312="","",SUMIFS('Repeat Detail'!$K$6:$K$1005,'Repeat Detail'!$A$6:$A$1005,"Daily",'Repeat Detail'!$B$6:$B$1005,$A312))</x:f>
      </x:c>
      <x:c r="E312" s="20" t="str">
        <x:f>IF($A312="","",SUMIFS('Repeat Detail'!$L$6:$L$1005,'Repeat Detail'!$A$6:$A$1005,"Daily",'Repeat Detail'!$B$6:$B$1005,$A312))</x:f>
      </x:c>
      <x:c r="F312" s="22" t="str">
        <x:f>IF(A312="","",IF(D312=0,"n.a.",E312/D312))</x:f>
      </x:c>
      <x:c r="G312" s="20" t="str">
        <x:f>IF($A312="","",SUMIFS('Repeat Detail'!$M$6:$M$1005,'Repeat Detail'!$A$6:$A$1005,"Daily",'Repeat Detail'!$B$6:$B$1005,$A312))</x:f>
      </x:c>
      <x:c r="H312" s="22" t="str">
        <x:f>IF(A312="","",IF(C312=0,"n.a.",G312/C312))</x:f>
      </x:c>
      <x:c r="I312" s="20" t="str">
        <x:f>IF($A312="","",SUMIFS('Repeat Detail'!$N$6:$N$1005,'Repeat Detail'!$A$6:$A$1005,"Daily",'Repeat Detail'!$B$6:$B$1005,$A312))</x:f>
      </x:c>
      <x:c r="J312" s="20" t="str">
        <x:f>IF(A312="","",B312-C312)</x:f>
      </x:c>
    </x:row>
    <x:row r="313">
      <x:c r="A313" s="12" t="str">
        <x:f>IF(A312="","",IF(A312+1&gt;IF(AND(COUNTIF('Repeat Detail'!$A$6:$A$1005,"Quality")=21,COUNTIF('Repeat Detail'!$A$6:$A$1005,"Menu")=12,COUNTIF('Repeat Detail'!$A$6:$A$1005,"Daily")=SUMIFS('Repeat Detail'!$O$6:$O$1005,'Repeat Detail'!$A$6:$A$1005,"Quality",'Repeat Detail'!$H$6:$H$1005,"Date span")),SUMIFS('Repeat Detail'!$O$6:$O$1005,'Repeat Detail'!$A$6:$A$1005,"Quality",'Repeat Detail'!$H$6:$H$1005,"Last date"),NA()),"",A312+1))</x:f>
      </x:c>
      <x:c r="B313" s="20" t="str">
        <x:f>IF($A313="","",SUMIFS('Repeat Detail'!$I$6:$I$1005,'Repeat Detail'!$A$6:$A$1005,"Daily",'Repeat Detail'!$B$6:$B$1005,$A313))</x:f>
      </x:c>
      <x:c r="C313" s="20" t="str">
        <x:f>IF($A313="","",SUMIFS('Repeat Detail'!$J$6:$J$1005,'Repeat Detail'!$A$6:$A$1005,"Daily",'Repeat Detail'!$B$6:$B$1005,$A313))</x:f>
      </x:c>
      <x:c r="D313" s="20" t="str">
        <x:f>IF($A313="","",SUMIFS('Repeat Detail'!$K$6:$K$1005,'Repeat Detail'!$A$6:$A$1005,"Daily",'Repeat Detail'!$B$6:$B$1005,$A313))</x:f>
      </x:c>
      <x:c r="E313" s="20" t="str">
        <x:f>IF($A313="","",SUMIFS('Repeat Detail'!$L$6:$L$1005,'Repeat Detail'!$A$6:$A$1005,"Daily",'Repeat Detail'!$B$6:$B$1005,$A313))</x:f>
      </x:c>
      <x:c r="F313" s="22" t="str">
        <x:f>IF(A313="","",IF(D313=0,"n.a.",E313/D313))</x:f>
      </x:c>
      <x:c r="G313" s="20" t="str">
        <x:f>IF($A313="","",SUMIFS('Repeat Detail'!$M$6:$M$1005,'Repeat Detail'!$A$6:$A$1005,"Daily",'Repeat Detail'!$B$6:$B$1005,$A313))</x:f>
      </x:c>
      <x:c r="H313" s="22" t="str">
        <x:f>IF(A313="","",IF(C313=0,"n.a.",G313/C313))</x:f>
      </x:c>
      <x:c r="I313" s="20" t="str">
        <x:f>IF($A313="","",SUMIFS('Repeat Detail'!$N$6:$N$1005,'Repeat Detail'!$A$6:$A$1005,"Daily",'Repeat Detail'!$B$6:$B$1005,$A313))</x:f>
      </x:c>
      <x:c r="J313" s="20" t="str">
        <x:f>IF(A313="","",B313-C313)</x:f>
      </x:c>
    </x:row>
    <x:row r="314">
      <x:c r="A314" s="12" t="str">
        <x:f>IF(A313="","",IF(A313+1&gt;IF(AND(COUNTIF('Repeat Detail'!$A$6:$A$1005,"Quality")=21,COUNTIF('Repeat Detail'!$A$6:$A$1005,"Menu")=12,COUNTIF('Repeat Detail'!$A$6:$A$1005,"Daily")=SUMIFS('Repeat Detail'!$O$6:$O$1005,'Repeat Detail'!$A$6:$A$1005,"Quality",'Repeat Detail'!$H$6:$H$1005,"Date span")),SUMIFS('Repeat Detail'!$O$6:$O$1005,'Repeat Detail'!$A$6:$A$1005,"Quality",'Repeat Detail'!$H$6:$H$1005,"Last date"),NA()),"",A313+1))</x:f>
      </x:c>
      <x:c r="B314" s="20" t="str">
        <x:f>IF($A314="","",SUMIFS('Repeat Detail'!$I$6:$I$1005,'Repeat Detail'!$A$6:$A$1005,"Daily",'Repeat Detail'!$B$6:$B$1005,$A314))</x:f>
      </x:c>
      <x:c r="C314" s="20" t="str">
        <x:f>IF($A314="","",SUMIFS('Repeat Detail'!$J$6:$J$1005,'Repeat Detail'!$A$6:$A$1005,"Daily",'Repeat Detail'!$B$6:$B$1005,$A314))</x:f>
      </x:c>
      <x:c r="D314" s="20" t="str">
        <x:f>IF($A314="","",SUMIFS('Repeat Detail'!$K$6:$K$1005,'Repeat Detail'!$A$6:$A$1005,"Daily",'Repeat Detail'!$B$6:$B$1005,$A314))</x:f>
      </x:c>
      <x:c r="E314" s="20" t="str">
        <x:f>IF($A314="","",SUMIFS('Repeat Detail'!$L$6:$L$1005,'Repeat Detail'!$A$6:$A$1005,"Daily",'Repeat Detail'!$B$6:$B$1005,$A314))</x:f>
      </x:c>
      <x:c r="F314" s="22" t="str">
        <x:f>IF(A314="","",IF(D314=0,"n.a.",E314/D314))</x:f>
      </x:c>
      <x:c r="G314" s="20" t="str">
        <x:f>IF($A314="","",SUMIFS('Repeat Detail'!$M$6:$M$1005,'Repeat Detail'!$A$6:$A$1005,"Daily",'Repeat Detail'!$B$6:$B$1005,$A314))</x:f>
      </x:c>
      <x:c r="H314" s="22" t="str">
        <x:f>IF(A314="","",IF(C314=0,"n.a.",G314/C314))</x:f>
      </x:c>
      <x:c r="I314" s="20" t="str">
        <x:f>IF($A314="","",SUMIFS('Repeat Detail'!$N$6:$N$1005,'Repeat Detail'!$A$6:$A$1005,"Daily",'Repeat Detail'!$B$6:$B$1005,$A314))</x:f>
      </x:c>
      <x:c r="J314" s="20" t="str">
        <x:f>IF(A314="","",B314-C314)</x:f>
      </x:c>
    </x:row>
    <x:row r="315">
      <x:c r="A315" s="12" t="str">
        <x:f>IF(A314="","",IF(A314+1&gt;IF(AND(COUNTIF('Repeat Detail'!$A$6:$A$1005,"Quality")=21,COUNTIF('Repeat Detail'!$A$6:$A$1005,"Menu")=12,COUNTIF('Repeat Detail'!$A$6:$A$1005,"Daily")=SUMIFS('Repeat Detail'!$O$6:$O$1005,'Repeat Detail'!$A$6:$A$1005,"Quality",'Repeat Detail'!$H$6:$H$1005,"Date span")),SUMIFS('Repeat Detail'!$O$6:$O$1005,'Repeat Detail'!$A$6:$A$1005,"Quality",'Repeat Detail'!$H$6:$H$1005,"Last date"),NA()),"",A314+1))</x:f>
      </x:c>
      <x:c r="B315" s="20" t="str">
        <x:f>IF($A315="","",SUMIFS('Repeat Detail'!$I$6:$I$1005,'Repeat Detail'!$A$6:$A$1005,"Daily",'Repeat Detail'!$B$6:$B$1005,$A315))</x:f>
      </x:c>
      <x:c r="C315" s="20" t="str">
        <x:f>IF($A315="","",SUMIFS('Repeat Detail'!$J$6:$J$1005,'Repeat Detail'!$A$6:$A$1005,"Daily",'Repeat Detail'!$B$6:$B$1005,$A315))</x:f>
      </x:c>
      <x:c r="D315" s="20" t="str">
        <x:f>IF($A315="","",SUMIFS('Repeat Detail'!$K$6:$K$1005,'Repeat Detail'!$A$6:$A$1005,"Daily",'Repeat Detail'!$B$6:$B$1005,$A315))</x:f>
      </x:c>
      <x:c r="E315" s="20" t="str">
        <x:f>IF($A315="","",SUMIFS('Repeat Detail'!$L$6:$L$1005,'Repeat Detail'!$A$6:$A$1005,"Daily",'Repeat Detail'!$B$6:$B$1005,$A315))</x:f>
      </x:c>
      <x:c r="F315" s="22" t="str">
        <x:f>IF(A315="","",IF(D315=0,"n.a.",E315/D315))</x:f>
      </x:c>
      <x:c r="G315" s="20" t="str">
        <x:f>IF($A315="","",SUMIFS('Repeat Detail'!$M$6:$M$1005,'Repeat Detail'!$A$6:$A$1005,"Daily",'Repeat Detail'!$B$6:$B$1005,$A315))</x:f>
      </x:c>
      <x:c r="H315" s="22" t="str">
        <x:f>IF(A315="","",IF(C315=0,"n.a.",G315/C315))</x:f>
      </x:c>
      <x:c r="I315" s="20" t="str">
        <x:f>IF($A315="","",SUMIFS('Repeat Detail'!$N$6:$N$1005,'Repeat Detail'!$A$6:$A$1005,"Daily",'Repeat Detail'!$B$6:$B$1005,$A315))</x:f>
      </x:c>
      <x:c r="J315" s="20" t="str">
        <x:f>IF(A315="","",B315-C315)</x:f>
      </x:c>
    </x:row>
    <x:row r="316">
      <x:c r="A316" s="12" t="str">
        <x:f>IF(A315="","",IF(A315+1&gt;IF(AND(COUNTIF('Repeat Detail'!$A$6:$A$1005,"Quality")=21,COUNTIF('Repeat Detail'!$A$6:$A$1005,"Menu")=12,COUNTIF('Repeat Detail'!$A$6:$A$1005,"Daily")=SUMIFS('Repeat Detail'!$O$6:$O$1005,'Repeat Detail'!$A$6:$A$1005,"Quality",'Repeat Detail'!$H$6:$H$1005,"Date span")),SUMIFS('Repeat Detail'!$O$6:$O$1005,'Repeat Detail'!$A$6:$A$1005,"Quality",'Repeat Detail'!$H$6:$H$1005,"Last date"),NA()),"",A315+1))</x:f>
      </x:c>
      <x:c r="B316" s="20" t="str">
        <x:f>IF($A316="","",SUMIFS('Repeat Detail'!$I$6:$I$1005,'Repeat Detail'!$A$6:$A$1005,"Daily",'Repeat Detail'!$B$6:$B$1005,$A316))</x:f>
      </x:c>
      <x:c r="C316" s="20" t="str">
        <x:f>IF($A316="","",SUMIFS('Repeat Detail'!$J$6:$J$1005,'Repeat Detail'!$A$6:$A$1005,"Daily",'Repeat Detail'!$B$6:$B$1005,$A316))</x:f>
      </x:c>
      <x:c r="D316" s="20" t="str">
        <x:f>IF($A316="","",SUMIFS('Repeat Detail'!$K$6:$K$1005,'Repeat Detail'!$A$6:$A$1005,"Daily",'Repeat Detail'!$B$6:$B$1005,$A316))</x:f>
      </x:c>
      <x:c r="E316" s="20" t="str">
        <x:f>IF($A316="","",SUMIFS('Repeat Detail'!$L$6:$L$1005,'Repeat Detail'!$A$6:$A$1005,"Daily",'Repeat Detail'!$B$6:$B$1005,$A316))</x:f>
      </x:c>
      <x:c r="F316" s="22" t="str">
        <x:f>IF(A316="","",IF(D316=0,"n.a.",E316/D316))</x:f>
      </x:c>
      <x:c r="G316" s="20" t="str">
        <x:f>IF($A316="","",SUMIFS('Repeat Detail'!$M$6:$M$1005,'Repeat Detail'!$A$6:$A$1005,"Daily",'Repeat Detail'!$B$6:$B$1005,$A316))</x:f>
      </x:c>
      <x:c r="H316" s="22" t="str">
        <x:f>IF(A316="","",IF(C316=0,"n.a.",G316/C316))</x:f>
      </x:c>
      <x:c r="I316" s="20" t="str">
        <x:f>IF($A316="","",SUMIFS('Repeat Detail'!$N$6:$N$1005,'Repeat Detail'!$A$6:$A$1005,"Daily",'Repeat Detail'!$B$6:$B$1005,$A316))</x:f>
      </x:c>
      <x:c r="J316" s="20" t="str">
        <x:f>IF(A316="","",B316-C316)</x:f>
      </x:c>
    </x:row>
    <x:row r="317">
      <x:c r="A317" s="12" t="str">
        <x:f>IF(A316="","",IF(A316+1&gt;IF(AND(COUNTIF('Repeat Detail'!$A$6:$A$1005,"Quality")=21,COUNTIF('Repeat Detail'!$A$6:$A$1005,"Menu")=12,COUNTIF('Repeat Detail'!$A$6:$A$1005,"Daily")=SUMIFS('Repeat Detail'!$O$6:$O$1005,'Repeat Detail'!$A$6:$A$1005,"Quality",'Repeat Detail'!$H$6:$H$1005,"Date span")),SUMIFS('Repeat Detail'!$O$6:$O$1005,'Repeat Detail'!$A$6:$A$1005,"Quality",'Repeat Detail'!$H$6:$H$1005,"Last date"),NA()),"",A316+1))</x:f>
      </x:c>
      <x:c r="B317" s="20" t="str">
        <x:f>IF($A317="","",SUMIFS('Repeat Detail'!$I$6:$I$1005,'Repeat Detail'!$A$6:$A$1005,"Daily",'Repeat Detail'!$B$6:$B$1005,$A317))</x:f>
      </x:c>
      <x:c r="C317" s="20" t="str">
        <x:f>IF($A317="","",SUMIFS('Repeat Detail'!$J$6:$J$1005,'Repeat Detail'!$A$6:$A$1005,"Daily",'Repeat Detail'!$B$6:$B$1005,$A317))</x:f>
      </x:c>
      <x:c r="D317" s="20" t="str">
        <x:f>IF($A317="","",SUMIFS('Repeat Detail'!$K$6:$K$1005,'Repeat Detail'!$A$6:$A$1005,"Daily",'Repeat Detail'!$B$6:$B$1005,$A317))</x:f>
      </x:c>
      <x:c r="E317" s="20" t="str">
        <x:f>IF($A317="","",SUMIFS('Repeat Detail'!$L$6:$L$1005,'Repeat Detail'!$A$6:$A$1005,"Daily",'Repeat Detail'!$B$6:$B$1005,$A317))</x:f>
      </x:c>
      <x:c r="F317" s="22" t="str">
        <x:f>IF(A317="","",IF(D317=0,"n.a.",E317/D317))</x:f>
      </x:c>
      <x:c r="G317" s="20" t="str">
        <x:f>IF($A317="","",SUMIFS('Repeat Detail'!$M$6:$M$1005,'Repeat Detail'!$A$6:$A$1005,"Daily",'Repeat Detail'!$B$6:$B$1005,$A317))</x:f>
      </x:c>
      <x:c r="H317" s="22" t="str">
        <x:f>IF(A317="","",IF(C317=0,"n.a.",G317/C317))</x:f>
      </x:c>
      <x:c r="I317" s="20" t="str">
        <x:f>IF($A317="","",SUMIFS('Repeat Detail'!$N$6:$N$1005,'Repeat Detail'!$A$6:$A$1005,"Daily",'Repeat Detail'!$B$6:$B$1005,$A317))</x:f>
      </x:c>
      <x:c r="J317" s="20" t="str">
        <x:f>IF(A317="","",B317-C317)</x:f>
      </x:c>
    </x:row>
    <x:row r="318">
      <x:c r="A318" s="12" t="str">
        <x:f>IF(A317="","",IF(A317+1&gt;IF(AND(COUNTIF('Repeat Detail'!$A$6:$A$1005,"Quality")=21,COUNTIF('Repeat Detail'!$A$6:$A$1005,"Menu")=12,COUNTIF('Repeat Detail'!$A$6:$A$1005,"Daily")=SUMIFS('Repeat Detail'!$O$6:$O$1005,'Repeat Detail'!$A$6:$A$1005,"Quality",'Repeat Detail'!$H$6:$H$1005,"Date span")),SUMIFS('Repeat Detail'!$O$6:$O$1005,'Repeat Detail'!$A$6:$A$1005,"Quality",'Repeat Detail'!$H$6:$H$1005,"Last date"),NA()),"",A317+1))</x:f>
      </x:c>
      <x:c r="B318" s="20" t="str">
        <x:f>IF($A318="","",SUMIFS('Repeat Detail'!$I$6:$I$1005,'Repeat Detail'!$A$6:$A$1005,"Daily",'Repeat Detail'!$B$6:$B$1005,$A318))</x:f>
      </x:c>
      <x:c r="C318" s="20" t="str">
        <x:f>IF($A318="","",SUMIFS('Repeat Detail'!$J$6:$J$1005,'Repeat Detail'!$A$6:$A$1005,"Daily",'Repeat Detail'!$B$6:$B$1005,$A318))</x:f>
      </x:c>
      <x:c r="D318" s="20" t="str">
        <x:f>IF($A318="","",SUMIFS('Repeat Detail'!$K$6:$K$1005,'Repeat Detail'!$A$6:$A$1005,"Daily",'Repeat Detail'!$B$6:$B$1005,$A318))</x:f>
      </x:c>
      <x:c r="E318" s="20" t="str">
        <x:f>IF($A318="","",SUMIFS('Repeat Detail'!$L$6:$L$1005,'Repeat Detail'!$A$6:$A$1005,"Daily",'Repeat Detail'!$B$6:$B$1005,$A318))</x:f>
      </x:c>
      <x:c r="F318" s="22" t="str">
        <x:f>IF(A318="","",IF(D318=0,"n.a.",E318/D318))</x:f>
      </x:c>
      <x:c r="G318" s="20" t="str">
        <x:f>IF($A318="","",SUMIFS('Repeat Detail'!$M$6:$M$1005,'Repeat Detail'!$A$6:$A$1005,"Daily",'Repeat Detail'!$B$6:$B$1005,$A318))</x:f>
      </x:c>
      <x:c r="H318" s="22" t="str">
        <x:f>IF(A318="","",IF(C318=0,"n.a.",G318/C318))</x:f>
      </x:c>
      <x:c r="I318" s="20" t="str">
        <x:f>IF($A318="","",SUMIFS('Repeat Detail'!$N$6:$N$1005,'Repeat Detail'!$A$6:$A$1005,"Daily",'Repeat Detail'!$B$6:$B$1005,$A318))</x:f>
      </x:c>
      <x:c r="J318" s="20" t="str">
        <x:f>IF(A318="","",B318-C318)</x:f>
      </x:c>
    </x:row>
    <x:row r="319">
      <x:c r="A319" s="12" t="str">
        <x:f>IF(A318="","",IF(A318+1&gt;IF(AND(COUNTIF('Repeat Detail'!$A$6:$A$1005,"Quality")=21,COUNTIF('Repeat Detail'!$A$6:$A$1005,"Menu")=12,COUNTIF('Repeat Detail'!$A$6:$A$1005,"Daily")=SUMIFS('Repeat Detail'!$O$6:$O$1005,'Repeat Detail'!$A$6:$A$1005,"Quality",'Repeat Detail'!$H$6:$H$1005,"Date span")),SUMIFS('Repeat Detail'!$O$6:$O$1005,'Repeat Detail'!$A$6:$A$1005,"Quality",'Repeat Detail'!$H$6:$H$1005,"Last date"),NA()),"",A318+1))</x:f>
      </x:c>
      <x:c r="B319" s="20" t="str">
        <x:f>IF($A319="","",SUMIFS('Repeat Detail'!$I$6:$I$1005,'Repeat Detail'!$A$6:$A$1005,"Daily",'Repeat Detail'!$B$6:$B$1005,$A319))</x:f>
      </x:c>
      <x:c r="C319" s="20" t="str">
        <x:f>IF($A319="","",SUMIFS('Repeat Detail'!$J$6:$J$1005,'Repeat Detail'!$A$6:$A$1005,"Daily",'Repeat Detail'!$B$6:$B$1005,$A319))</x:f>
      </x:c>
      <x:c r="D319" s="20" t="str">
        <x:f>IF($A319="","",SUMIFS('Repeat Detail'!$K$6:$K$1005,'Repeat Detail'!$A$6:$A$1005,"Daily",'Repeat Detail'!$B$6:$B$1005,$A319))</x:f>
      </x:c>
      <x:c r="E319" s="20" t="str">
        <x:f>IF($A319="","",SUMIFS('Repeat Detail'!$L$6:$L$1005,'Repeat Detail'!$A$6:$A$1005,"Daily",'Repeat Detail'!$B$6:$B$1005,$A319))</x:f>
      </x:c>
      <x:c r="F319" s="22" t="str">
        <x:f>IF(A319="","",IF(D319=0,"n.a.",E319/D319))</x:f>
      </x:c>
      <x:c r="G319" s="20" t="str">
        <x:f>IF($A319="","",SUMIFS('Repeat Detail'!$M$6:$M$1005,'Repeat Detail'!$A$6:$A$1005,"Daily",'Repeat Detail'!$B$6:$B$1005,$A319))</x:f>
      </x:c>
      <x:c r="H319" s="22" t="str">
        <x:f>IF(A319="","",IF(C319=0,"n.a.",G319/C319))</x:f>
      </x:c>
      <x:c r="I319" s="20" t="str">
        <x:f>IF($A319="","",SUMIFS('Repeat Detail'!$N$6:$N$1005,'Repeat Detail'!$A$6:$A$1005,"Daily",'Repeat Detail'!$B$6:$B$1005,$A319))</x:f>
      </x:c>
      <x:c r="J319" s="20" t="str">
        <x:f>IF(A319="","",B319-C319)</x:f>
      </x:c>
    </x:row>
    <x:row r="320">
      <x:c r="A320" s="12" t="str">
        <x:f>IF(A319="","",IF(A319+1&gt;IF(AND(COUNTIF('Repeat Detail'!$A$6:$A$1005,"Quality")=21,COUNTIF('Repeat Detail'!$A$6:$A$1005,"Menu")=12,COUNTIF('Repeat Detail'!$A$6:$A$1005,"Daily")=SUMIFS('Repeat Detail'!$O$6:$O$1005,'Repeat Detail'!$A$6:$A$1005,"Quality",'Repeat Detail'!$H$6:$H$1005,"Date span")),SUMIFS('Repeat Detail'!$O$6:$O$1005,'Repeat Detail'!$A$6:$A$1005,"Quality",'Repeat Detail'!$H$6:$H$1005,"Last date"),NA()),"",A319+1))</x:f>
      </x:c>
      <x:c r="B320" s="20" t="str">
        <x:f>IF($A320="","",SUMIFS('Repeat Detail'!$I$6:$I$1005,'Repeat Detail'!$A$6:$A$1005,"Daily",'Repeat Detail'!$B$6:$B$1005,$A320))</x:f>
      </x:c>
      <x:c r="C320" s="20" t="str">
        <x:f>IF($A320="","",SUMIFS('Repeat Detail'!$J$6:$J$1005,'Repeat Detail'!$A$6:$A$1005,"Daily",'Repeat Detail'!$B$6:$B$1005,$A320))</x:f>
      </x:c>
      <x:c r="D320" s="20" t="str">
        <x:f>IF($A320="","",SUMIFS('Repeat Detail'!$K$6:$K$1005,'Repeat Detail'!$A$6:$A$1005,"Daily",'Repeat Detail'!$B$6:$B$1005,$A320))</x:f>
      </x:c>
      <x:c r="E320" s="20" t="str">
        <x:f>IF($A320="","",SUMIFS('Repeat Detail'!$L$6:$L$1005,'Repeat Detail'!$A$6:$A$1005,"Daily",'Repeat Detail'!$B$6:$B$1005,$A320))</x:f>
      </x:c>
      <x:c r="F320" s="22" t="str">
        <x:f>IF(A320="","",IF(D320=0,"n.a.",E320/D320))</x:f>
      </x:c>
      <x:c r="G320" s="20" t="str">
        <x:f>IF($A320="","",SUMIFS('Repeat Detail'!$M$6:$M$1005,'Repeat Detail'!$A$6:$A$1005,"Daily",'Repeat Detail'!$B$6:$B$1005,$A320))</x:f>
      </x:c>
      <x:c r="H320" s="22" t="str">
        <x:f>IF(A320="","",IF(C320=0,"n.a.",G320/C320))</x:f>
      </x:c>
      <x:c r="I320" s="20" t="str">
        <x:f>IF($A320="","",SUMIFS('Repeat Detail'!$N$6:$N$1005,'Repeat Detail'!$A$6:$A$1005,"Daily",'Repeat Detail'!$B$6:$B$1005,$A320))</x:f>
      </x:c>
      <x:c r="J320" s="20" t="str">
        <x:f>IF(A320="","",B320-C320)</x:f>
      </x:c>
    </x:row>
    <x:row r="321">
      <x:c r="A321" s="12" t="str">
        <x:f>IF(A320="","",IF(A320+1&gt;IF(AND(COUNTIF('Repeat Detail'!$A$6:$A$1005,"Quality")=21,COUNTIF('Repeat Detail'!$A$6:$A$1005,"Menu")=12,COUNTIF('Repeat Detail'!$A$6:$A$1005,"Daily")=SUMIFS('Repeat Detail'!$O$6:$O$1005,'Repeat Detail'!$A$6:$A$1005,"Quality",'Repeat Detail'!$H$6:$H$1005,"Date span")),SUMIFS('Repeat Detail'!$O$6:$O$1005,'Repeat Detail'!$A$6:$A$1005,"Quality",'Repeat Detail'!$H$6:$H$1005,"Last date"),NA()),"",A320+1))</x:f>
      </x:c>
      <x:c r="B321" s="20" t="str">
        <x:f>IF($A321="","",SUMIFS('Repeat Detail'!$I$6:$I$1005,'Repeat Detail'!$A$6:$A$1005,"Daily",'Repeat Detail'!$B$6:$B$1005,$A321))</x:f>
      </x:c>
      <x:c r="C321" s="20" t="str">
        <x:f>IF($A321="","",SUMIFS('Repeat Detail'!$J$6:$J$1005,'Repeat Detail'!$A$6:$A$1005,"Daily",'Repeat Detail'!$B$6:$B$1005,$A321))</x:f>
      </x:c>
      <x:c r="D321" s="20" t="str">
        <x:f>IF($A321="","",SUMIFS('Repeat Detail'!$K$6:$K$1005,'Repeat Detail'!$A$6:$A$1005,"Daily",'Repeat Detail'!$B$6:$B$1005,$A321))</x:f>
      </x:c>
      <x:c r="E321" s="20" t="str">
        <x:f>IF($A321="","",SUMIFS('Repeat Detail'!$L$6:$L$1005,'Repeat Detail'!$A$6:$A$1005,"Daily",'Repeat Detail'!$B$6:$B$1005,$A321))</x:f>
      </x:c>
      <x:c r="F321" s="22" t="str">
        <x:f>IF(A321="","",IF(D321=0,"n.a.",E321/D321))</x:f>
      </x:c>
      <x:c r="G321" s="20" t="str">
        <x:f>IF($A321="","",SUMIFS('Repeat Detail'!$M$6:$M$1005,'Repeat Detail'!$A$6:$A$1005,"Daily",'Repeat Detail'!$B$6:$B$1005,$A321))</x:f>
      </x:c>
      <x:c r="H321" s="22" t="str">
        <x:f>IF(A321="","",IF(C321=0,"n.a.",G321/C321))</x:f>
      </x:c>
      <x:c r="I321" s="20" t="str">
        <x:f>IF($A321="","",SUMIFS('Repeat Detail'!$N$6:$N$1005,'Repeat Detail'!$A$6:$A$1005,"Daily",'Repeat Detail'!$B$6:$B$1005,$A321))</x:f>
      </x:c>
      <x:c r="J321" s="20" t="str">
        <x:f>IF(A321="","",B321-C321)</x:f>
      </x:c>
    </x:row>
    <x:row r="322">
      <x:c r="A322" s="12" t="str">
        <x:f>IF(A321="","",IF(A321+1&gt;IF(AND(COUNTIF('Repeat Detail'!$A$6:$A$1005,"Quality")=21,COUNTIF('Repeat Detail'!$A$6:$A$1005,"Menu")=12,COUNTIF('Repeat Detail'!$A$6:$A$1005,"Daily")=SUMIFS('Repeat Detail'!$O$6:$O$1005,'Repeat Detail'!$A$6:$A$1005,"Quality",'Repeat Detail'!$H$6:$H$1005,"Date span")),SUMIFS('Repeat Detail'!$O$6:$O$1005,'Repeat Detail'!$A$6:$A$1005,"Quality",'Repeat Detail'!$H$6:$H$1005,"Last date"),NA()),"",A321+1))</x:f>
      </x:c>
      <x:c r="B322" s="20" t="str">
        <x:f>IF($A322="","",SUMIFS('Repeat Detail'!$I$6:$I$1005,'Repeat Detail'!$A$6:$A$1005,"Daily",'Repeat Detail'!$B$6:$B$1005,$A322))</x:f>
      </x:c>
      <x:c r="C322" s="20" t="str">
        <x:f>IF($A322="","",SUMIFS('Repeat Detail'!$J$6:$J$1005,'Repeat Detail'!$A$6:$A$1005,"Daily",'Repeat Detail'!$B$6:$B$1005,$A322))</x:f>
      </x:c>
      <x:c r="D322" s="20" t="str">
        <x:f>IF($A322="","",SUMIFS('Repeat Detail'!$K$6:$K$1005,'Repeat Detail'!$A$6:$A$1005,"Daily",'Repeat Detail'!$B$6:$B$1005,$A322))</x:f>
      </x:c>
      <x:c r="E322" s="20" t="str">
        <x:f>IF($A322="","",SUMIFS('Repeat Detail'!$L$6:$L$1005,'Repeat Detail'!$A$6:$A$1005,"Daily",'Repeat Detail'!$B$6:$B$1005,$A322))</x:f>
      </x:c>
      <x:c r="F322" s="22" t="str">
        <x:f>IF(A322="","",IF(D322=0,"n.a.",E322/D322))</x:f>
      </x:c>
      <x:c r="G322" s="20" t="str">
        <x:f>IF($A322="","",SUMIFS('Repeat Detail'!$M$6:$M$1005,'Repeat Detail'!$A$6:$A$1005,"Daily",'Repeat Detail'!$B$6:$B$1005,$A322))</x:f>
      </x:c>
      <x:c r="H322" s="22" t="str">
        <x:f>IF(A322="","",IF(C322=0,"n.a.",G322/C322))</x:f>
      </x:c>
      <x:c r="I322" s="20" t="str">
        <x:f>IF($A322="","",SUMIFS('Repeat Detail'!$N$6:$N$1005,'Repeat Detail'!$A$6:$A$1005,"Daily",'Repeat Detail'!$B$6:$B$1005,$A322))</x:f>
      </x:c>
      <x:c r="J322" s="20" t="str">
        <x:f>IF(A322="","",B322-C322)</x:f>
      </x:c>
    </x:row>
    <x:row r="323">
      <x:c r="A323" s="12" t="str">
        <x:f>IF(A322="","",IF(A322+1&gt;IF(AND(COUNTIF('Repeat Detail'!$A$6:$A$1005,"Quality")=21,COUNTIF('Repeat Detail'!$A$6:$A$1005,"Menu")=12,COUNTIF('Repeat Detail'!$A$6:$A$1005,"Daily")=SUMIFS('Repeat Detail'!$O$6:$O$1005,'Repeat Detail'!$A$6:$A$1005,"Quality",'Repeat Detail'!$H$6:$H$1005,"Date span")),SUMIFS('Repeat Detail'!$O$6:$O$1005,'Repeat Detail'!$A$6:$A$1005,"Quality",'Repeat Detail'!$H$6:$H$1005,"Last date"),NA()),"",A322+1))</x:f>
      </x:c>
      <x:c r="B323" s="20" t="str">
        <x:f>IF($A323="","",SUMIFS('Repeat Detail'!$I$6:$I$1005,'Repeat Detail'!$A$6:$A$1005,"Daily",'Repeat Detail'!$B$6:$B$1005,$A323))</x:f>
      </x:c>
      <x:c r="C323" s="20" t="str">
        <x:f>IF($A323="","",SUMIFS('Repeat Detail'!$J$6:$J$1005,'Repeat Detail'!$A$6:$A$1005,"Daily",'Repeat Detail'!$B$6:$B$1005,$A323))</x:f>
      </x:c>
      <x:c r="D323" s="20" t="str">
        <x:f>IF($A323="","",SUMIFS('Repeat Detail'!$K$6:$K$1005,'Repeat Detail'!$A$6:$A$1005,"Daily",'Repeat Detail'!$B$6:$B$1005,$A323))</x:f>
      </x:c>
      <x:c r="E323" s="20" t="str">
        <x:f>IF($A323="","",SUMIFS('Repeat Detail'!$L$6:$L$1005,'Repeat Detail'!$A$6:$A$1005,"Daily",'Repeat Detail'!$B$6:$B$1005,$A323))</x:f>
      </x:c>
      <x:c r="F323" s="22" t="str">
        <x:f>IF(A323="","",IF(D323=0,"n.a.",E323/D323))</x:f>
      </x:c>
      <x:c r="G323" s="20" t="str">
        <x:f>IF($A323="","",SUMIFS('Repeat Detail'!$M$6:$M$1005,'Repeat Detail'!$A$6:$A$1005,"Daily",'Repeat Detail'!$B$6:$B$1005,$A323))</x:f>
      </x:c>
      <x:c r="H323" s="22" t="str">
        <x:f>IF(A323="","",IF(C323=0,"n.a.",G323/C323))</x:f>
      </x:c>
      <x:c r="I323" s="20" t="str">
        <x:f>IF($A323="","",SUMIFS('Repeat Detail'!$N$6:$N$1005,'Repeat Detail'!$A$6:$A$1005,"Daily",'Repeat Detail'!$B$6:$B$1005,$A323))</x:f>
      </x:c>
      <x:c r="J323" s="20" t="str">
        <x:f>IF(A323="","",B323-C323)</x:f>
      </x:c>
    </x:row>
    <x:row r="324">
      <x:c r="A324" s="12" t="str">
        <x:f>IF(A323="","",IF(A323+1&gt;IF(AND(COUNTIF('Repeat Detail'!$A$6:$A$1005,"Quality")=21,COUNTIF('Repeat Detail'!$A$6:$A$1005,"Menu")=12,COUNTIF('Repeat Detail'!$A$6:$A$1005,"Daily")=SUMIFS('Repeat Detail'!$O$6:$O$1005,'Repeat Detail'!$A$6:$A$1005,"Quality",'Repeat Detail'!$H$6:$H$1005,"Date span")),SUMIFS('Repeat Detail'!$O$6:$O$1005,'Repeat Detail'!$A$6:$A$1005,"Quality",'Repeat Detail'!$H$6:$H$1005,"Last date"),NA()),"",A323+1))</x:f>
      </x:c>
      <x:c r="B324" s="20" t="str">
        <x:f>IF($A324="","",SUMIFS('Repeat Detail'!$I$6:$I$1005,'Repeat Detail'!$A$6:$A$1005,"Daily",'Repeat Detail'!$B$6:$B$1005,$A324))</x:f>
      </x:c>
      <x:c r="C324" s="20" t="str">
        <x:f>IF($A324="","",SUMIFS('Repeat Detail'!$J$6:$J$1005,'Repeat Detail'!$A$6:$A$1005,"Daily",'Repeat Detail'!$B$6:$B$1005,$A324))</x:f>
      </x:c>
      <x:c r="D324" s="20" t="str">
        <x:f>IF($A324="","",SUMIFS('Repeat Detail'!$K$6:$K$1005,'Repeat Detail'!$A$6:$A$1005,"Daily",'Repeat Detail'!$B$6:$B$1005,$A324))</x:f>
      </x:c>
      <x:c r="E324" s="20" t="str">
        <x:f>IF($A324="","",SUMIFS('Repeat Detail'!$L$6:$L$1005,'Repeat Detail'!$A$6:$A$1005,"Daily",'Repeat Detail'!$B$6:$B$1005,$A324))</x:f>
      </x:c>
      <x:c r="F324" s="22" t="str">
        <x:f>IF(A324="","",IF(D324=0,"n.a.",E324/D324))</x:f>
      </x:c>
      <x:c r="G324" s="20" t="str">
        <x:f>IF($A324="","",SUMIFS('Repeat Detail'!$M$6:$M$1005,'Repeat Detail'!$A$6:$A$1005,"Daily",'Repeat Detail'!$B$6:$B$1005,$A324))</x:f>
      </x:c>
      <x:c r="H324" s="22" t="str">
        <x:f>IF(A324="","",IF(C324=0,"n.a.",G324/C324))</x:f>
      </x:c>
      <x:c r="I324" s="20" t="str">
        <x:f>IF($A324="","",SUMIFS('Repeat Detail'!$N$6:$N$1005,'Repeat Detail'!$A$6:$A$1005,"Daily",'Repeat Detail'!$B$6:$B$1005,$A324))</x:f>
      </x:c>
      <x:c r="J324" s="20" t="str">
        <x:f>IF(A324="","",B324-C324)</x:f>
      </x:c>
    </x:row>
    <x:row r="325">
      <x:c r="A325" s="12" t="str">
        <x:f>IF(A324="","",IF(A324+1&gt;IF(AND(COUNTIF('Repeat Detail'!$A$6:$A$1005,"Quality")=21,COUNTIF('Repeat Detail'!$A$6:$A$1005,"Menu")=12,COUNTIF('Repeat Detail'!$A$6:$A$1005,"Daily")=SUMIFS('Repeat Detail'!$O$6:$O$1005,'Repeat Detail'!$A$6:$A$1005,"Quality",'Repeat Detail'!$H$6:$H$1005,"Date span")),SUMIFS('Repeat Detail'!$O$6:$O$1005,'Repeat Detail'!$A$6:$A$1005,"Quality",'Repeat Detail'!$H$6:$H$1005,"Last date"),NA()),"",A324+1))</x:f>
      </x:c>
      <x:c r="B325" s="20" t="str">
        <x:f>IF($A325="","",SUMIFS('Repeat Detail'!$I$6:$I$1005,'Repeat Detail'!$A$6:$A$1005,"Daily",'Repeat Detail'!$B$6:$B$1005,$A325))</x:f>
      </x:c>
      <x:c r="C325" s="20" t="str">
        <x:f>IF($A325="","",SUMIFS('Repeat Detail'!$J$6:$J$1005,'Repeat Detail'!$A$6:$A$1005,"Daily",'Repeat Detail'!$B$6:$B$1005,$A325))</x:f>
      </x:c>
      <x:c r="D325" s="20" t="str">
        <x:f>IF($A325="","",SUMIFS('Repeat Detail'!$K$6:$K$1005,'Repeat Detail'!$A$6:$A$1005,"Daily",'Repeat Detail'!$B$6:$B$1005,$A325))</x:f>
      </x:c>
      <x:c r="E325" s="20" t="str">
        <x:f>IF($A325="","",SUMIFS('Repeat Detail'!$L$6:$L$1005,'Repeat Detail'!$A$6:$A$1005,"Daily",'Repeat Detail'!$B$6:$B$1005,$A325))</x:f>
      </x:c>
      <x:c r="F325" s="22" t="str">
        <x:f>IF(A325="","",IF(D325=0,"n.a.",E325/D325))</x:f>
      </x:c>
      <x:c r="G325" s="20" t="str">
        <x:f>IF($A325="","",SUMIFS('Repeat Detail'!$M$6:$M$1005,'Repeat Detail'!$A$6:$A$1005,"Daily",'Repeat Detail'!$B$6:$B$1005,$A325))</x:f>
      </x:c>
      <x:c r="H325" s="22" t="str">
        <x:f>IF(A325="","",IF(C325=0,"n.a.",G325/C325))</x:f>
      </x:c>
      <x:c r="I325" s="20" t="str">
        <x:f>IF($A325="","",SUMIFS('Repeat Detail'!$N$6:$N$1005,'Repeat Detail'!$A$6:$A$1005,"Daily",'Repeat Detail'!$B$6:$B$1005,$A325))</x:f>
      </x:c>
      <x:c r="J325" s="20" t="str">
        <x:f>IF(A325="","",B325-C325)</x:f>
      </x:c>
    </x:row>
    <x:row r="326">
      <x:c r="A326" s="12" t="str">
        <x:f>IF(A325="","",IF(A325+1&gt;IF(AND(COUNTIF('Repeat Detail'!$A$6:$A$1005,"Quality")=21,COUNTIF('Repeat Detail'!$A$6:$A$1005,"Menu")=12,COUNTIF('Repeat Detail'!$A$6:$A$1005,"Daily")=SUMIFS('Repeat Detail'!$O$6:$O$1005,'Repeat Detail'!$A$6:$A$1005,"Quality",'Repeat Detail'!$H$6:$H$1005,"Date span")),SUMIFS('Repeat Detail'!$O$6:$O$1005,'Repeat Detail'!$A$6:$A$1005,"Quality",'Repeat Detail'!$H$6:$H$1005,"Last date"),NA()),"",A325+1))</x:f>
      </x:c>
      <x:c r="B326" s="20" t="str">
        <x:f>IF($A326="","",SUMIFS('Repeat Detail'!$I$6:$I$1005,'Repeat Detail'!$A$6:$A$1005,"Daily",'Repeat Detail'!$B$6:$B$1005,$A326))</x:f>
      </x:c>
      <x:c r="C326" s="20" t="str">
        <x:f>IF($A326="","",SUMIFS('Repeat Detail'!$J$6:$J$1005,'Repeat Detail'!$A$6:$A$1005,"Daily",'Repeat Detail'!$B$6:$B$1005,$A326))</x:f>
      </x:c>
      <x:c r="D326" s="20" t="str">
        <x:f>IF($A326="","",SUMIFS('Repeat Detail'!$K$6:$K$1005,'Repeat Detail'!$A$6:$A$1005,"Daily",'Repeat Detail'!$B$6:$B$1005,$A326))</x:f>
      </x:c>
      <x:c r="E326" s="20" t="str">
        <x:f>IF($A326="","",SUMIFS('Repeat Detail'!$L$6:$L$1005,'Repeat Detail'!$A$6:$A$1005,"Daily",'Repeat Detail'!$B$6:$B$1005,$A326))</x:f>
      </x:c>
      <x:c r="F326" s="22" t="str">
        <x:f>IF(A326="","",IF(D326=0,"n.a.",E326/D326))</x:f>
      </x:c>
      <x:c r="G326" s="20" t="str">
        <x:f>IF($A326="","",SUMIFS('Repeat Detail'!$M$6:$M$1005,'Repeat Detail'!$A$6:$A$1005,"Daily",'Repeat Detail'!$B$6:$B$1005,$A326))</x:f>
      </x:c>
      <x:c r="H326" s="22" t="str">
        <x:f>IF(A326="","",IF(C326=0,"n.a.",G326/C326))</x:f>
      </x:c>
      <x:c r="I326" s="20" t="str">
        <x:f>IF($A326="","",SUMIFS('Repeat Detail'!$N$6:$N$1005,'Repeat Detail'!$A$6:$A$1005,"Daily",'Repeat Detail'!$B$6:$B$1005,$A326))</x:f>
      </x:c>
      <x:c r="J326" s="20" t="str">
        <x:f>IF(A326="","",B326-C326)</x:f>
      </x:c>
    </x:row>
    <x:row r="327">
      <x:c r="A327" s="12" t="str">
        <x:f>IF(A326="","",IF(A326+1&gt;IF(AND(COUNTIF('Repeat Detail'!$A$6:$A$1005,"Quality")=21,COUNTIF('Repeat Detail'!$A$6:$A$1005,"Menu")=12,COUNTIF('Repeat Detail'!$A$6:$A$1005,"Daily")=SUMIFS('Repeat Detail'!$O$6:$O$1005,'Repeat Detail'!$A$6:$A$1005,"Quality",'Repeat Detail'!$H$6:$H$1005,"Date span")),SUMIFS('Repeat Detail'!$O$6:$O$1005,'Repeat Detail'!$A$6:$A$1005,"Quality",'Repeat Detail'!$H$6:$H$1005,"Last date"),NA()),"",A326+1))</x:f>
      </x:c>
      <x:c r="B327" s="20" t="str">
        <x:f>IF($A327="","",SUMIFS('Repeat Detail'!$I$6:$I$1005,'Repeat Detail'!$A$6:$A$1005,"Daily",'Repeat Detail'!$B$6:$B$1005,$A327))</x:f>
      </x:c>
      <x:c r="C327" s="20" t="str">
        <x:f>IF($A327="","",SUMIFS('Repeat Detail'!$J$6:$J$1005,'Repeat Detail'!$A$6:$A$1005,"Daily",'Repeat Detail'!$B$6:$B$1005,$A327))</x:f>
      </x:c>
      <x:c r="D327" s="20" t="str">
        <x:f>IF($A327="","",SUMIFS('Repeat Detail'!$K$6:$K$1005,'Repeat Detail'!$A$6:$A$1005,"Daily",'Repeat Detail'!$B$6:$B$1005,$A327))</x:f>
      </x:c>
      <x:c r="E327" s="20" t="str">
        <x:f>IF($A327="","",SUMIFS('Repeat Detail'!$L$6:$L$1005,'Repeat Detail'!$A$6:$A$1005,"Daily",'Repeat Detail'!$B$6:$B$1005,$A327))</x:f>
      </x:c>
      <x:c r="F327" s="22" t="str">
        <x:f>IF(A327="","",IF(D327=0,"n.a.",E327/D327))</x:f>
      </x:c>
      <x:c r="G327" s="20" t="str">
        <x:f>IF($A327="","",SUMIFS('Repeat Detail'!$M$6:$M$1005,'Repeat Detail'!$A$6:$A$1005,"Daily",'Repeat Detail'!$B$6:$B$1005,$A327))</x:f>
      </x:c>
      <x:c r="H327" s="22" t="str">
        <x:f>IF(A327="","",IF(C327=0,"n.a.",G327/C327))</x:f>
      </x:c>
      <x:c r="I327" s="20" t="str">
        <x:f>IF($A327="","",SUMIFS('Repeat Detail'!$N$6:$N$1005,'Repeat Detail'!$A$6:$A$1005,"Daily",'Repeat Detail'!$B$6:$B$1005,$A327))</x:f>
      </x:c>
      <x:c r="J327" s="20" t="str">
        <x:f>IF(A327="","",B327-C327)</x:f>
      </x:c>
    </x:row>
    <x:row r="328">
      <x:c r="A328" s="12" t="str">
        <x:f>IF(A327="","",IF(A327+1&gt;IF(AND(COUNTIF('Repeat Detail'!$A$6:$A$1005,"Quality")=21,COUNTIF('Repeat Detail'!$A$6:$A$1005,"Menu")=12,COUNTIF('Repeat Detail'!$A$6:$A$1005,"Daily")=SUMIFS('Repeat Detail'!$O$6:$O$1005,'Repeat Detail'!$A$6:$A$1005,"Quality",'Repeat Detail'!$H$6:$H$1005,"Date span")),SUMIFS('Repeat Detail'!$O$6:$O$1005,'Repeat Detail'!$A$6:$A$1005,"Quality",'Repeat Detail'!$H$6:$H$1005,"Last date"),NA()),"",A327+1))</x:f>
      </x:c>
      <x:c r="B328" s="20" t="str">
        <x:f>IF($A328="","",SUMIFS('Repeat Detail'!$I$6:$I$1005,'Repeat Detail'!$A$6:$A$1005,"Daily",'Repeat Detail'!$B$6:$B$1005,$A328))</x:f>
      </x:c>
      <x:c r="C328" s="20" t="str">
        <x:f>IF($A328="","",SUMIFS('Repeat Detail'!$J$6:$J$1005,'Repeat Detail'!$A$6:$A$1005,"Daily",'Repeat Detail'!$B$6:$B$1005,$A328))</x:f>
      </x:c>
      <x:c r="D328" s="20" t="str">
        <x:f>IF($A328="","",SUMIFS('Repeat Detail'!$K$6:$K$1005,'Repeat Detail'!$A$6:$A$1005,"Daily",'Repeat Detail'!$B$6:$B$1005,$A328))</x:f>
      </x:c>
      <x:c r="E328" s="20" t="str">
        <x:f>IF($A328="","",SUMIFS('Repeat Detail'!$L$6:$L$1005,'Repeat Detail'!$A$6:$A$1005,"Daily",'Repeat Detail'!$B$6:$B$1005,$A328))</x:f>
      </x:c>
      <x:c r="F328" s="22" t="str">
        <x:f>IF(A328="","",IF(D328=0,"n.a.",E328/D328))</x:f>
      </x:c>
      <x:c r="G328" s="20" t="str">
        <x:f>IF($A328="","",SUMIFS('Repeat Detail'!$M$6:$M$1005,'Repeat Detail'!$A$6:$A$1005,"Daily",'Repeat Detail'!$B$6:$B$1005,$A328))</x:f>
      </x:c>
      <x:c r="H328" s="22" t="str">
        <x:f>IF(A328="","",IF(C328=0,"n.a.",G328/C328))</x:f>
      </x:c>
      <x:c r="I328" s="20" t="str">
        <x:f>IF($A328="","",SUMIFS('Repeat Detail'!$N$6:$N$1005,'Repeat Detail'!$A$6:$A$1005,"Daily",'Repeat Detail'!$B$6:$B$1005,$A328))</x:f>
      </x:c>
      <x:c r="J328" s="20" t="str">
        <x:f>IF(A328="","",B328-C328)</x:f>
      </x:c>
    </x:row>
    <x:row r="329">
      <x:c r="A329" s="12" t="str">
        <x:f>IF(A328="","",IF(A328+1&gt;IF(AND(COUNTIF('Repeat Detail'!$A$6:$A$1005,"Quality")=21,COUNTIF('Repeat Detail'!$A$6:$A$1005,"Menu")=12,COUNTIF('Repeat Detail'!$A$6:$A$1005,"Daily")=SUMIFS('Repeat Detail'!$O$6:$O$1005,'Repeat Detail'!$A$6:$A$1005,"Quality",'Repeat Detail'!$H$6:$H$1005,"Date span")),SUMIFS('Repeat Detail'!$O$6:$O$1005,'Repeat Detail'!$A$6:$A$1005,"Quality",'Repeat Detail'!$H$6:$H$1005,"Last date"),NA()),"",A328+1))</x:f>
      </x:c>
      <x:c r="B329" s="20" t="str">
        <x:f>IF($A329="","",SUMIFS('Repeat Detail'!$I$6:$I$1005,'Repeat Detail'!$A$6:$A$1005,"Daily",'Repeat Detail'!$B$6:$B$1005,$A329))</x:f>
      </x:c>
      <x:c r="C329" s="20" t="str">
        <x:f>IF($A329="","",SUMIFS('Repeat Detail'!$J$6:$J$1005,'Repeat Detail'!$A$6:$A$1005,"Daily",'Repeat Detail'!$B$6:$B$1005,$A329))</x:f>
      </x:c>
      <x:c r="D329" s="20" t="str">
        <x:f>IF($A329="","",SUMIFS('Repeat Detail'!$K$6:$K$1005,'Repeat Detail'!$A$6:$A$1005,"Daily",'Repeat Detail'!$B$6:$B$1005,$A329))</x:f>
      </x:c>
      <x:c r="E329" s="20" t="str">
        <x:f>IF($A329="","",SUMIFS('Repeat Detail'!$L$6:$L$1005,'Repeat Detail'!$A$6:$A$1005,"Daily",'Repeat Detail'!$B$6:$B$1005,$A329))</x:f>
      </x:c>
      <x:c r="F329" s="22" t="str">
        <x:f>IF(A329="","",IF(D329=0,"n.a.",E329/D329))</x:f>
      </x:c>
      <x:c r="G329" s="20" t="str">
        <x:f>IF($A329="","",SUMIFS('Repeat Detail'!$M$6:$M$1005,'Repeat Detail'!$A$6:$A$1005,"Daily",'Repeat Detail'!$B$6:$B$1005,$A329))</x:f>
      </x:c>
      <x:c r="H329" s="22" t="str">
        <x:f>IF(A329="","",IF(C329=0,"n.a.",G329/C329))</x:f>
      </x:c>
      <x:c r="I329" s="20" t="str">
        <x:f>IF($A329="","",SUMIFS('Repeat Detail'!$N$6:$N$1005,'Repeat Detail'!$A$6:$A$1005,"Daily",'Repeat Detail'!$B$6:$B$1005,$A329))</x:f>
      </x:c>
      <x:c r="J329" s="20" t="str">
        <x:f>IF(A329="","",B329-C329)</x:f>
      </x:c>
    </x:row>
    <x:row r="330">
      <x:c r="A330" s="12" t="str">
        <x:f>IF(A329="","",IF(A329+1&gt;IF(AND(COUNTIF('Repeat Detail'!$A$6:$A$1005,"Quality")=21,COUNTIF('Repeat Detail'!$A$6:$A$1005,"Menu")=12,COUNTIF('Repeat Detail'!$A$6:$A$1005,"Daily")=SUMIFS('Repeat Detail'!$O$6:$O$1005,'Repeat Detail'!$A$6:$A$1005,"Quality",'Repeat Detail'!$H$6:$H$1005,"Date span")),SUMIFS('Repeat Detail'!$O$6:$O$1005,'Repeat Detail'!$A$6:$A$1005,"Quality",'Repeat Detail'!$H$6:$H$1005,"Last date"),NA()),"",A329+1))</x:f>
      </x:c>
      <x:c r="B330" s="20" t="str">
        <x:f>IF($A330="","",SUMIFS('Repeat Detail'!$I$6:$I$1005,'Repeat Detail'!$A$6:$A$1005,"Daily",'Repeat Detail'!$B$6:$B$1005,$A330))</x:f>
      </x:c>
      <x:c r="C330" s="20" t="str">
        <x:f>IF($A330="","",SUMIFS('Repeat Detail'!$J$6:$J$1005,'Repeat Detail'!$A$6:$A$1005,"Daily",'Repeat Detail'!$B$6:$B$1005,$A330))</x:f>
      </x:c>
      <x:c r="D330" s="20" t="str">
        <x:f>IF($A330="","",SUMIFS('Repeat Detail'!$K$6:$K$1005,'Repeat Detail'!$A$6:$A$1005,"Daily",'Repeat Detail'!$B$6:$B$1005,$A330))</x:f>
      </x:c>
      <x:c r="E330" s="20" t="str">
        <x:f>IF($A330="","",SUMIFS('Repeat Detail'!$L$6:$L$1005,'Repeat Detail'!$A$6:$A$1005,"Daily",'Repeat Detail'!$B$6:$B$1005,$A330))</x:f>
      </x:c>
      <x:c r="F330" s="22" t="str">
        <x:f>IF(A330="","",IF(D330=0,"n.a.",E330/D330))</x:f>
      </x:c>
      <x:c r="G330" s="20" t="str">
        <x:f>IF($A330="","",SUMIFS('Repeat Detail'!$M$6:$M$1005,'Repeat Detail'!$A$6:$A$1005,"Daily",'Repeat Detail'!$B$6:$B$1005,$A330))</x:f>
      </x:c>
      <x:c r="H330" s="22" t="str">
        <x:f>IF(A330="","",IF(C330=0,"n.a.",G330/C330))</x:f>
      </x:c>
      <x:c r="I330" s="20" t="str">
        <x:f>IF($A330="","",SUMIFS('Repeat Detail'!$N$6:$N$1005,'Repeat Detail'!$A$6:$A$1005,"Daily",'Repeat Detail'!$B$6:$B$1005,$A330))</x:f>
      </x:c>
      <x:c r="J330" s="20" t="str">
        <x:f>IF(A330="","",B330-C330)</x:f>
      </x:c>
    </x:row>
    <x:row r="331">
      <x:c r="A331" s="12" t="str">
        <x:f>IF(A330="","",IF(A330+1&gt;IF(AND(COUNTIF('Repeat Detail'!$A$6:$A$1005,"Quality")=21,COUNTIF('Repeat Detail'!$A$6:$A$1005,"Menu")=12,COUNTIF('Repeat Detail'!$A$6:$A$1005,"Daily")=SUMIFS('Repeat Detail'!$O$6:$O$1005,'Repeat Detail'!$A$6:$A$1005,"Quality",'Repeat Detail'!$H$6:$H$1005,"Date span")),SUMIFS('Repeat Detail'!$O$6:$O$1005,'Repeat Detail'!$A$6:$A$1005,"Quality",'Repeat Detail'!$H$6:$H$1005,"Last date"),NA()),"",A330+1))</x:f>
      </x:c>
      <x:c r="B331" s="20" t="str">
        <x:f>IF($A331="","",SUMIFS('Repeat Detail'!$I$6:$I$1005,'Repeat Detail'!$A$6:$A$1005,"Daily",'Repeat Detail'!$B$6:$B$1005,$A331))</x:f>
      </x:c>
      <x:c r="C331" s="20" t="str">
        <x:f>IF($A331="","",SUMIFS('Repeat Detail'!$J$6:$J$1005,'Repeat Detail'!$A$6:$A$1005,"Daily",'Repeat Detail'!$B$6:$B$1005,$A331))</x:f>
      </x:c>
      <x:c r="D331" s="20" t="str">
        <x:f>IF($A331="","",SUMIFS('Repeat Detail'!$K$6:$K$1005,'Repeat Detail'!$A$6:$A$1005,"Daily",'Repeat Detail'!$B$6:$B$1005,$A331))</x:f>
      </x:c>
      <x:c r="E331" s="20" t="str">
        <x:f>IF($A331="","",SUMIFS('Repeat Detail'!$L$6:$L$1005,'Repeat Detail'!$A$6:$A$1005,"Daily",'Repeat Detail'!$B$6:$B$1005,$A331))</x:f>
      </x:c>
      <x:c r="F331" s="22" t="str">
        <x:f>IF(A331="","",IF(D331=0,"n.a.",E331/D331))</x:f>
      </x:c>
      <x:c r="G331" s="20" t="str">
        <x:f>IF($A331="","",SUMIFS('Repeat Detail'!$M$6:$M$1005,'Repeat Detail'!$A$6:$A$1005,"Daily",'Repeat Detail'!$B$6:$B$1005,$A331))</x:f>
      </x:c>
      <x:c r="H331" s="22" t="str">
        <x:f>IF(A331="","",IF(C331=0,"n.a.",G331/C331))</x:f>
      </x:c>
      <x:c r="I331" s="20" t="str">
        <x:f>IF($A331="","",SUMIFS('Repeat Detail'!$N$6:$N$1005,'Repeat Detail'!$A$6:$A$1005,"Daily",'Repeat Detail'!$B$6:$B$1005,$A331))</x:f>
      </x:c>
      <x:c r="J331" s="20" t="str">
        <x:f>IF(A331="","",B331-C331)</x:f>
      </x:c>
    </x:row>
    <x:row r="332">
      <x:c r="A332" s="12" t="str">
        <x:f>IF(A331="","",IF(A331+1&gt;IF(AND(COUNTIF('Repeat Detail'!$A$6:$A$1005,"Quality")=21,COUNTIF('Repeat Detail'!$A$6:$A$1005,"Menu")=12,COUNTIF('Repeat Detail'!$A$6:$A$1005,"Daily")=SUMIFS('Repeat Detail'!$O$6:$O$1005,'Repeat Detail'!$A$6:$A$1005,"Quality",'Repeat Detail'!$H$6:$H$1005,"Date span")),SUMIFS('Repeat Detail'!$O$6:$O$1005,'Repeat Detail'!$A$6:$A$1005,"Quality",'Repeat Detail'!$H$6:$H$1005,"Last date"),NA()),"",A331+1))</x:f>
      </x:c>
      <x:c r="B332" s="20" t="str">
        <x:f>IF($A332="","",SUMIFS('Repeat Detail'!$I$6:$I$1005,'Repeat Detail'!$A$6:$A$1005,"Daily",'Repeat Detail'!$B$6:$B$1005,$A332))</x:f>
      </x:c>
      <x:c r="C332" s="20" t="str">
        <x:f>IF($A332="","",SUMIFS('Repeat Detail'!$J$6:$J$1005,'Repeat Detail'!$A$6:$A$1005,"Daily",'Repeat Detail'!$B$6:$B$1005,$A332))</x:f>
      </x:c>
      <x:c r="D332" s="20" t="str">
        <x:f>IF($A332="","",SUMIFS('Repeat Detail'!$K$6:$K$1005,'Repeat Detail'!$A$6:$A$1005,"Daily",'Repeat Detail'!$B$6:$B$1005,$A332))</x:f>
      </x:c>
      <x:c r="E332" s="20" t="str">
        <x:f>IF($A332="","",SUMIFS('Repeat Detail'!$L$6:$L$1005,'Repeat Detail'!$A$6:$A$1005,"Daily",'Repeat Detail'!$B$6:$B$1005,$A332))</x:f>
      </x:c>
      <x:c r="F332" s="22" t="str">
        <x:f>IF(A332="","",IF(D332=0,"n.a.",E332/D332))</x:f>
      </x:c>
      <x:c r="G332" s="20" t="str">
        <x:f>IF($A332="","",SUMIFS('Repeat Detail'!$M$6:$M$1005,'Repeat Detail'!$A$6:$A$1005,"Daily",'Repeat Detail'!$B$6:$B$1005,$A332))</x:f>
      </x:c>
      <x:c r="H332" s="22" t="str">
        <x:f>IF(A332="","",IF(C332=0,"n.a.",G332/C332))</x:f>
      </x:c>
      <x:c r="I332" s="20" t="str">
        <x:f>IF($A332="","",SUMIFS('Repeat Detail'!$N$6:$N$1005,'Repeat Detail'!$A$6:$A$1005,"Daily",'Repeat Detail'!$B$6:$B$1005,$A332))</x:f>
      </x:c>
      <x:c r="J332" s="20" t="str">
        <x:f>IF(A332="","",B332-C332)</x:f>
      </x:c>
    </x:row>
    <x:row r="333">
      <x:c r="A333" s="12" t="str">
        <x:f>IF(A332="","",IF(A332+1&gt;IF(AND(COUNTIF('Repeat Detail'!$A$6:$A$1005,"Quality")=21,COUNTIF('Repeat Detail'!$A$6:$A$1005,"Menu")=12,COUNTIF('Repeat Detail'!$A$6:$A$1005,"Daily")=SUMIFS('Repeat Detail'!$O$6:$O$1005,'Repeat Detail'!$A$6:$A$1005,"Quality",'Repeat Detail'!$H$6:$H$1005,"Date span")),SUMIFS('Repeat Detail'!$O$6:$O$1005,'Repeat Detail'!$A$6:$A$1005,"Quality",'Repeat Detail'!$H$6:$H$1005,"Last date"),NA()),"",A332+1))</x:f>
      </x:c>
      <x:c r="B333" s="20" t="str">
        <x:f>IF($A333="","",SUMIFS('Repeat Detail'!$I$6:$I$1005,'Repeat Detail'!$A$6:$A$1005,"Daily",'Repeat Detail'!$B$6:$B$1005,$A333))</x:f>
      </x:c>
      <x:c r="C333" s="20" t="str">
        <x:f>IF($A333="","",SUMIFS('Repeat Detail'!$J$6:$J$1005,'Repeat Detail'!$A$6:$A$1005,"Daily",'Repeat Detail'!$B$6:$B$1005,$A333))</x:f>
      </x:c>
      <x:c r="D333" s="20" t="str">
        <x:f>IF($A333="","",SUMIFS('Repeat Detail'!$K$6:$K$1005,'Repeat Detail'!$A$6:$A$1005,"Daily",'Repeat Detail'!$B$6:$B$1005,$A333))</x:f>
      </x:c>
      <x:c r="E333" s="20" t="str">
        <x:f>IF($A333="","",SUMIFS('Repeat Detail'!$L$6:$L$1005,'Repeat Detail'!$A$6:$A$1005,"Daily",'Repeat Detail'!$B$6:$B$1005,$A333))</x:f>
      </x:c>
      <x:c r="F333" s="22" t="str">
        <x:f>IF(A333="","",IF(D333=0,"n.a.",E333/D333))</x:f>
      </x:c>
      <x:c r="G333" s="20" t="str">
        <x:f>IF($A333="","",SUMIFS('Repeat Detail'!$M$6:$M$1005,'Repeat Detail'!$A$6:$A$1005,"Daily",'Repeat Detail'!$B$6:$B$1005,$A333))</x:f>
      </x:c>
      <x:c r="H333" s="22" t="str">
        <x:f>IF(A333="","",IF(C333=0,"n.a.",G333/C333))</x:f>
      </x:c>
      <x:c r="I333" s="20" t="str">
        <x:f>IF($A333="","",SUMIFS('Repeat Detail'!$N$6:$N$1005,'Repeat Detail'!$A$6:$A$1005,"Daily",'Repeat Detail'!$B$6:$B$1005,$A333))</x:f>
      </x:c>
      <x:c r="J333" s="20" t="str">
        <x:f>IF(A333="","",B333-C333)</x:f>
      </x:c>
    </x:row>
    <x:row r="334">
      <x:c r="A334" s="12" t="str">
        <x:f>IF(A333="","",IF(A333+1&gt;IF(AND(COUNTIF('Repeat Detail'!$A$6:$A$1005,"Quality")=21,COUNTIF('Repeat Detail'!$A$6:$A$1005,"Menu")=12,COUNTIF('Repeat Detail'!$A$6:$A$1005,"Daily")=SUMIFS('Repeat Detail'!$O$6:$O$1005,'Repeat Detail'!$A$6:$A$1005,"Quality",'Repeat Detail'!$H$6:$H$1005,"Date span")),SUMIFS('Repeat Detail'!$O$6:$O$1005,'Repeat Detail'!$A$6:$A$1005,"Quality",'Repeat Detail'!$H$6:$H$1005,"Last date"),NA()),"",A333+1))</x:f>
      </x:c>
      <x:c r="B334" s="20" t="str">
        <x:f>IF($A334="","",SUMIFS('Repeat Detail'!$I$6:$I$1005,'Repeat Detail'!$A$6:$A$1005,"Daily",'Repeat Detail'!$B$6:$B$1005,$A334))</x:f>
      </x:c>
      <x:c r="C334" s="20" t="str">
        <x:f>IF($A334="","",SUMIFS('Repeat Detail'!$J$6:$J$1005,'Repeat Detail'!$A$6:$A$1005,"Daily",'Repeat Detail'!$B$6:$B$1005,$A334))</x:f>
      </x:c>
      <x:c r="D334" s="20" t="str">
        <x:f>IF($A334="","",SUMIFS('Repeat Detail'!$K$6:$K$1005,'Repeat Detail'!$A$6:$A$1005,"Daily",'Repeat Detail'!$B$6:$B$1005,$A334))</x:f>
      </x:c>
      <x:c r="E334" s="20" t="str">
        <x:f>IF($A334="","",SUMIFS('Repeat Detail'!$L$6:$L$1005,'Repeat Detail'!$A$6:$A$1005,"Daily",'Repeat Detail'!$B$6:$B$1005,$A334))</x:f>
      </x:c>
      <x:c r="F334" s="22" t="str">
        <x:f>IF(A334="","",IF(D334=0,"n.a.",E334/D334))</x:f>
      </x:c>
      <x:c r="G334" s="20" t="str">
        <x:f>IF($A334="","",SUMIFS('Repeat Detail'!$M$6:$M$1005,'Repeat Detail'!$A$6:$A$1005,"Daily",'Repeat Detail'!$B$6:$B$1005,$A334))</x:f>
      </x:c>
      <x:c r="H334" s="22" t="str">
        <x:f>IF(A334="","",IF(C334=0,"n.a.",G334/C334))</x:f>
      </x:c>
      <x:c r="I334" s="20" t="str">
        <x:f>IF($A334="","",SUMIFS('Repeat Detail'!$N$6:$N$1005,'Repeat Detail'!$A$6:$A$1005,"Daily",'Repeat Detail'!$B$6:$B$1005,$A334))</x:f>
      </x:c>
      <x:c r="J334" s="20" t="str">
        <x:f>IF(A334="","",B334-C334)</x:f>
      </x:c>
    </x:row>
    <x:row r="335">
      <x:c r="A335" s="12" t="str">
        <x:f>IF(A334="","",IF(A334+1&gt;IF(AND(COUNTIF('Repeat Detail'!$A$6:$A$1005,"Quality")=21,COUNTIF('Repeat Detail'!$A$6:$A$1005,"Menu")=12,COUNTIF('Repeat Detail'!$A$6:$A$1005,"Daily")=SUMIFS('Repeat Detail'!$O$6:$O$1005,'Repeat Detail'!$A$6:$A$1005,"Quality",'Repeat Detail'!$H$6:$H$1005,"Date span")),SUMIFS('Repeat Detail'!$O$6:$O$1005,'Repeat Detail'!$A$6:$A$1005,"Quality",'Repeat Detail'!$H$6:$H$1005,"Last date"),NA()),"",A334+1))</x:f>
      </x:c>
      <x:c r="B335" s="20" t="str">
        <x:f>IF($A335="","",SUMIFS('Repeat Detail'!$I$6:$I$1005,'Repeat Detail'!$A$6:$A$1005,"Daily",'Repeat Detail'!$B$6:$B$1005,$A335))</x:f>
      </x:c>
      <x:c r="C335" s="20" t="str">
        <x:f>IF($A335="","",SUMIFS('Repeat Detail'!$J$6:$J$1005,'Repeat Detail'!$A$6:$A$1005,"Daily",'Repeat Detail'!$B$6:$B$1005,$A335))</x:f>
      </x:c>
      <x:c r="D335" s="20" t="str">
        <x:f>IF($A335="","",SUMIFS('Repeat Detail'!$K$6:$K$1005,'Repeat Detail'!$A$6:$A$1005,"Daily",'Repeat Detail'!$B$6:$B$1005,$A335))</x:f>
      </x:c>
      <x:c r="E335" s="20" t="str">
        <x:f>IF($A335="","",SUMIFS('Repeat Detail'!$L$6:$L$1005,'Repeat Detail'!$A$6:$A$1005,"Daily",'Repeat Detail'!$B$6:$B$1005,$A335))</x:f>
      </x:c>
      <x:c r="F335" s="22" t="str">
        <x:f>IF(A335="","",IF(D335=0,"n.a.",E335/D335))</x:f>
      </x:c>
      <x:c r="G335" s="20" t="str">
        <x:f>IF($A335="","",SUMIFS('Repeat Detail'!$M$6:$M$1005,'Repeat Detail'!$A$6:$A$1005,"Daily",'Repeat Detail'!$B$6:$B$1005,$A335))</x:f>
      </x:c>
      <x:c r="H335" s="22" t="str">
        <x:f>IF(A335="","",IF(C335=0,"n.a.",G335/C335))</x:f>
      </x:c>
      <x:c r="I335" s="20" t="str">
        <x:f>IF($A335="","",SUMIFS('Repeat Detail'!$N$6:$N$1005,'Repeat Detail'!$A$6:$A$1005,"Daily",'Repeat Detail'!$B$6:$B$1005,$A335))</x:f>
      </x:c>
      <x:c r="J335" s="20" t="str">
        <x:f>IF(A335="","",B335-C335)</x:f>
      </x:c>
    </x:row>
    <x:row r="336">
      <x:c r="A336" s="12" t="str">
        <x:f>IF(A335="","",IF(A335+1&gt;IF(AND(COUNTIF('Repeat Detail'!$A$6:$A$1005,"Quality")=21,COUNTIF('Repeat Detail'!$A$6:$A$1005,"Menu")=12,COUNTIF('Repeat Detail'!$A$6:$A$1005,"Daily")=SUMIFS('Repeat Detail'!$O$6:$O$1005,'Repeat Detail'!$A$6:$A$1005,"Quality",'Repeat Detail'!$H$6:$H$1005,"Date span")),SUMIFS('Repeat Detail'!$O$6:$O$1005,'Repeat Detail'!$A$6:$A$1005,"Quality",'Repeat Detail'!$H$6:$H$1005,"Last date"),NA()),"",A335+1))</x:f>
      </x:c>
      <x:c r="B336" s="20" t="str">
        <x:f>IF($A336="","",SUMIFS('Repeat Detail'!$I$6:$I$1005,'Repeat Detail'!$A$6:$A$1005,"Daily",'Repeat Detail'!$B$6:$B$1005,$A336))</x:f>
      </x:c>
      <x:c r="C336" s="20" t="str">
        <x:f>IF($A336="","",SUMIFS('Repeat Detail'!$J$6:$J$1005,'Repeat Detail'!$A$6:$A$1005,"Daily",'Repeat Detail'!$B$6:$B$1005,$A336))</x:f>
      </x:c>
      <x:c r="D336" s="20" t="str">
        <x:f>IF($A336="","",SUMIFS('Repeat Detail'!$K$6:$K$1005,'Repeat Detail'!$A$6:$A$1005,"Daily",'Repeat Detail'!$B$6:$B$1005,$A336))</x:f>
      </x:c>
      <x:c r="E336" s="20" t="str">
        <x:f>IF($A336="","",SUMIFS('Repeat Detail'!$L$6:$L$1005,'Repeat Detail'!$A$6:$A$1005,"Daily",'Repeat Detail'!$B$6:$B$1005,$A336))</x:f>
      </x:c>
      <x:c r="F336" s="22" t="str">
        <x:f>IF(A336="","",IF(D336=0,"n.a.",E336/D336))</x:f>
      </x:c>
      <x:c r="G336" s="20" t="str">
        <x:f>IF($A336="","",SUMIFS('Repeat Detail'!$M$6:$M$1005,'Repeat Detail'!$A$6:$A$1005,"Daily",'Repeat Detail'!$B$6:$B$1005,$A336))</x:f>
      </x:c>
      <x:c r="H336" s="22" t="str">
        <x:f>IF(A336="","",IF(C336=0,"n.a.",G336/C336))</x:f>
      </x:c>
      <x:c r="I336" s="20" t="str">
        <x:f>IF($A336="","",SUMIFS('Repeat Detail'!$N$6:$N$1005,'Repeat Detail'!$A$6:$A$1005,"Daily",'Repeat Detail'!$B$6:$B$1005,$A336))</x:f>
      </x:c>
      <x:c r="J336" s="20" t="str">
        <x:f>IF(A336="","",B336-C336)</x:f>
      </x:c>
    </x:row>
    <x:row r="337">
      <x:c r="A337" s="12" t="str">
        <x:f>IF(A336="","",IF(A336+1&gt;IF(AND(COUNTIF('Repeat Detail'!$A$6:$A$1005,"Quality")=21,COUNTIF('Repeat Detail'!$A$6:$A$1005,"Menu")=12,COUNTIF('Repeat Detail'!$A$6:$A$1005,"Daily")=SUMIFS('Repeat Detail'!$O$6:$O$1005,'Repeat Detail'!$A$6:$A$1005,"Quality",'Repeat Detail'!$H$6:$H$1005,"Date span")),SUMIFS('Repeat Detail'!$O$6:$O$1005,'Repeat Detail'!$A$6:$A$1005,"Quality",'Repeat Detail'!$H$6:$H$1005,"Last date"),NA()),"",A336+1))</x:f>
      </x:c>
      <x:c r="B337" s="20" t="str">
        <x:f>IF($A337="","",SUMIFS('Repeat Detail'!$I$6:$I$1005,'Repeat Detail'!$A$6:$A$1005,"Daily",'Repeat Detail'!$B$6:$B$1005,$A337))</x:f>
      </x:c>
      <x:c r="C337" s="20" t="str">
        <x:f>IF($A337="","",SUMIFS('Repeat Detail'!$J$6:$J$1005,'Repeat Detail'!$A$6:$A$1005,"Daily",'Repeat Detail'!$B$6:$B$1005,$A337))</x:f>
      </x:c>
      <x:c r="D337" s="20" t="str">
        <x:f>IF($A337="","",SUMIFS('Repeat Detail'!$K$6:$K$1005,'Repeat Detail'!$A$6:$A$1005,"Daily",'Repeat Detail'!$B$6:$B$1005,$A337))</x:f>
      </x:c>
      <x:c r="E337" s="20" t="str">
        <x:f>IF($A337="","",SUMIFS('Repeat Detail'!$L$6:$L$1005,'Repeat Detail'!$A$6:$A$1005,"Daily",'Repeat Detail'!$B$6:$B$1005,$A337))</x:f>
      </x:c>
      <x:c r="F337" s="22" t="str">
        <x:f>IF(A337="","",IF(D337=0,"n.a.",E337/D337))</x:f>
      </x:c>
      <x:c r="G337" s="20" t="str">
        <x:f>IF($A337="","",SUMIFS('Repeat Detail'!$M$6:$M$1005,'Repeat Detail'!$A$6:$A$1005,"Daily",'Repeat Detail'!$B$6:$B$1005,$A337))</x:f>
      </x:c>
      <x:c r="H337" s="22" t="str">
        <x:f>IF(A337="","",IF(C337=0,"n.a.",G337/C337))</x:f>
      </x:c>
      <x:c r="I337" s="20" t="str">
        <x:f>IF($A337="","",SUMIFS('Repeat Detail'!$N$6:$N$1005,'Repeat Detail'!$A$6:$A$1005,"Daily",'Repeat Detail'!$B$6:$B$1005,$A337))</x:f>
      </x:c>
      <x:c r="J337" s="20" t="str">
        <x:f>IF(A337="","",B337-C337)</x:f>
      </x:c>
    </x:row>
    <x:row r="338">
      <x:c r="A338" s="12" t="str">
        <x:f>IF(A337="","",IF(A337+1&gt;IF(AND(COUNTIF('Repeat Detail'!$A$6:$A$1005,"Quality")=21,COUNTIF('Repeat Detail'!$A$6:$A$1005,"Menu")=12,COUNTIF('Repeat Detail'!$A$6:$A$1005,"Daily")=SUMIFS('Repeat Detail'!$O$6:$O$1005,'Repeat Detail'!$A$6:$A$1005,"Quality",'Repeat Detail'!$H$6:$H$1005,"Date span")),SUMIFS('Repeat Detail'!$O$6:$O$1005,'Repeat Detail'!$A$6:$A$1005,"Quality",'Repeat Detail'!$H$6:$H$1005,"Last date"),NA()),"",A337+1))</x:f>
      </x:c>
      <x:c r="B338" s="20" t="str">
        <x:f>IF($A338="","",SUMIFS('Repeat Detail'!$I$6:$I$1005,'Repeat Detail'!$A$6:$A$1005,"Daily",'Repeat Detail'!$B$6:$B$1005,$A338))</x:f>
      </x:c>
      <x:c r="C338" s="20" t="str">
        <x:f>IF($A338="","",SUMIFS('Repeat Detail'!$J$6:$J$1005,'Repeat Detail'!$A$6:$A$1005,"Daily",'Repeat Detail'!$B$6:$B$1005,$A338))</x:f>
      </x:c>
      <x:c r="D338" s="20" t="str">
        <x:f>IF($A338="","",SUMIFS('Repeat Detail'!$K$6:$K$1005,'Repeat Detail'!$A$6:$A$1005,"Daily",'Repeat Detail'!$B$6:$B$1005,$A338))</x:f>
      </x:c>
      <x:c r="E338" s="20" t="str">
        <x:f>IF($A338="","",SUMIFS('Repeat Detail'!$L$6:$L$1005,'Repeat Detail'!$A$6:$A$1005,"Daily",'Repeat Detail'!$B$6:$B$1005,$A338))</x:f>
      </x:c>
      <x:c r="F338" s="22" t="str">
        <x:f>IF(A338="","",IF(D338=0,"n.a.",E338/D338))</x:f>
      </x:c>
      <x:c r="G338" s="20" t="str">
        <x:f>IF($A338="","",SUMIFS('Repeat Detail'!$M$6:$M$1005,'Repeat Detail'!$A$6:$A$1005,"Daily",'Repeat Detail'!$B$6:$B$1005,$A338))</x:f>
      </x:c>
      <x:c r="H338" s="22" t="str">
        <x:f>IF(A338="","",IF(C338=0,"n.a.",G338/C338))</x:f>
      </x:c>
      <x:c r="I338" s="20" t="str">
        <x:f>IF($A338="","",SUMIFS('Repeat Detail'!$N$6:$N$1005,'Repeat Detail'!$A$6:$A$1005,"Daily",'Repeat Detail'!$B$6:$B$1005,$A338))</x:f>
      </x:c>
      <x:c r="J338" s="20" t="str">
        <x:f>IF(A338="","",B338-C338)</x:f>
      </x:c>
    </x:row>
    <x:row r="339">
      <x:c r="A339" s="12" t="str">
        <x:f>IF(A338="","",IF(A338+1&gt;IF(AND(COUNTIF('Repeat Detail'!$A$6:$A$1005,"Quality")=21,COUNTIF('Repeat Detail'!$A$6:$A$1005,"Menu")=12,COUNTIF('Repeat Detail'!$A$6:$A$1005,"Daily")=SUMIFS('Repeat Detail'!$O$6:$O$1005,'Repeat Detail'!$A$6:$A$1005,"Quality",'Repeat Detail'!$H$6:$H$1005,"Date span")),SUMIFS('Repeat Detail'!$O$6:$O$1005,'Repeat Detail'!$A$6:$A$1005,"Quality",'Repeat Detail'!$H$6:$H$1005,"Last date"),NA()),"",A338+1))</x:f>
      </x:c>
      <x:c r="B339" s="20" t="str">
        <x:f>IF($A339="","",SUMIFS('Repeat Detail'!$I$6:$I$1005,'Repeat Detail'!$A$6:$A$1005,"Daily",'Repeat Detail'!$B$6:$B$1005,$A339))</x:f>
      </x:c>
      <x:c r="C339" s="20" t="str">
        <x:f>IF($A339="","",SUMIFS('Repeat Detail'!$J$6:$J$1005,'Repeat Detail'!$A$6:$A$1005,"Daily",'Repeat Detail'!$B$6:$B$1005,$A339))</x:f>
      </x:c>
      <x:c r="D339" s="20" t="str">
        <x:f>IF($A339="","",SUMIFS('Repeat Detail'!$K$6:$K$1005,'Repeat Detail'!$A$6:$A$1005,"Daily",'Repeat Detail'!$B$6:$B$1005,$A339))</x:f>
      </x:c>
      <x:c r="E339" s="20" t="str">
        <x:f>IF($A339="","",SUMIFS('Repeat Detail'!$L$6:$L$1005,'Repeat Detail'!$A$6:$A$1005,"Daily",'Repeat Detail'!$B$6:$B$1005,$A339))</x:f>
      </x:c>
      <x:c r="F339" s="22" t="str">
        <x:f>IF(A339="","",IF(D339=0,"n.a.",E339/D339))</x:f>
      </x:c>
      <x:c r="G339" s="20" t="str">
        <x:f>IF($A339="","",SUMIFS('Repeat Detail'!$M$6:$M$1005,'Repeat Detail'!$A$6:$A$1005,"Daily",'Repeat Detail'!$B$6:$B$1005,$A339))</x:f>
      </x:c>
      <x:c r="H339" s="22" t="str">
        <x:f>IF(A339="","",IF(C339=0,"n.a.",G339/C339))</x:f>
      </x:c>
      <x:c r="I339" s="20" t="str">
        <x:f>IF($A339="","",SUMIFS('Repeat Detail'!$N$6:$N$1005,'Repeat Detail'!$A$6:$A$1005,"Daily",'Repeat Detail'!$B$6:$B$1005,$A339))</x:f>
      </x:c>
      <x:c r="J339" s="20" t="str">
        <x:f>IF(A339="","",B339-C339)</x:f>
      </x:c>
    </x:row>
    <x:row r="340">
      <x:c r="A340" s="12" t="str">
        <x:f>IF(A339="","",IF(A339+1&gt;IF(AND(COUNTIF('Repeat Detail'!$A$6:$A$1005,"Quality")=21,COUNTIF('Repeat Detail'!$A$6:$A$1005,"Menu")=12,COUNTIF('Repeat Detail'!$A$6:$A$1005,"Daily")=SUMIFS('Repeat Detail'!$O$6:$O$1005,'Repeat Detail'!$A$6:$A$1005,"Quality",'Repeat Detail'!$H$6:$H$1005,"Date span")),SUMIFS('Repeat Detail'!$O$6:$O$1005,'Repeat Detail'!$A$6:$A$1005,"Quality",'Repeat Detail'!$H$6:$H$1005,"Last date"),NA()),"",A339+1))</x:f>
      </x:c>
      <x:c r="B340" s="20" t="str">
        <x:f>IF($A340="","",SUMIFS('Repeat Detail'!$I$6:$I$1005,'Repeat Detail'!$A$6:$A$1005,"Daily",'Repeat Detail'!$B$6:$B$1005,$A340))</x:f>
      </x:c>
      <x:c r="C340" s="20" t="str">
        <x:f>IF($A340="","",SUMIFS('Repeat Detail'!$J$6:$J$1005,'Repeat Detail'!$A$6:$A$1005,"Daily",'Repeat Detail'!$B$6:$B$1005,$A340))</x:f>
      </x:c>
      <x:c r="D340" s="20" t="str">
        <x:f>IF($A340="","",SUMIFS('Repeat Detail'!$K$6:$K$1005,'Repeat Detail'!$A$6:$A$1005,"Daily",'Repeat Detail'!$B$6:$B$1005,$A340))</x:f>
      </x:c>
      <x:c r="E340" s="20" t="str">
        <x:f>IF($A340="","",SUMIFS('Repeat Detail'!$L$6:$L$1005,'Repeat Detail'!$A$6:$A$1005,"Daily",'Repeat Detail'!$B$6:$B$1005,$A340))</x:f>
      </x:c>
      <x:c r="F340" s="22" t="str">
        <x:f>IF(A340="","",IF(D340=0,"n.a.",E340/D340))</x:f>
      </x:c>
      <x:c r="G340" s="20" t="str">
        <x:f>IF($A340="","",SUMIFS('Repeat Detail'!$M$6:$M$1005,'Repeat Detail'!$A$6:$A$1005,"Daily",'Repeat Detail'!$B$6:$B$1005,$A340))</x:f>
      </x:c>
      <x:c r="H340" s="22" t="str">
        <x:f>IF(A340="","",IF(C340=0,"n.a.",G340/C340))</x:f>
      </x:c>
      <x:c r="I340" s="20" t="str">
        <x:f>IF($A340="","",SUMIFS('Repeat Detail'!$N$6:$N$1005,'Repeat Detail'!$A$6:$A$1005,"Daily",'Repeat Detail'!$B$6:$B$1005,$A340))</x:f>
      </x:c>
      <x:c r="J340" s="20" t="str">
        <x:f>IF(A340="","",B340-C340)</x:f>
      </x:c>
    </x:row>
    <x:row r="341">
      <x:c r="A341" s="12" t="str">
        <x:f>IF(A340="","",IF(A340+1&gt;IF(AND(COUNTIF('Repeat Detail'!$A$6:$A$1005,"Quality")=21,COUNTIF('Repeat Detail'!$A$6:$A$1005,"Menu")=12,COUNTIF('Repeat Detail'!$A$6:$A$1005,"Daily")=SUMIFS('Repeat Detail'!$O$6:$O$1005,'Repeat Detail'!$A$6:$A$1005,"Quality",'Repeat Detail'!$H$6:$H$1005,"Date span")),SUMIFS('Repeat Detail'!$O$6:$O$1005,'Repeat Detail'!$A$6:$A$1005,"Quality",'Repeat Detail'!$H$6:$H$1005,"Last date"),NA()),"",A340+1))</x:f>
      </x:c>
      <x:c r="B341" s="20" t="str">
        <x:f>IF($A341="","",SUMIFS('Repeat Detail'!$I$6:$I$1005,'Repeat Detail'!$A$6:$A$1005,"Daily",'Repeat Detail'!$B$6:$B$1005,$A341))</x:f>
      </x:c>
      <x:c r="C341" s="20" t="str">
        <x:f>IF($A341="","",SUMIFS('Repeat Detail'!$J$6:$J$1005,'Repeat Detail'!$A$6:$A$1005,"Daily",'Repeat Detail'!$B$6:$B$1005,$A341))</x:f>
      </x:c>
      <x:c r="D341" s="20" t="str">
        <x:f>IF($A341="","",SUMIFS('Repeat Detail'!$K$6:$K$1005,'Repeat Detail'!$A$6:$A$1005,"Daily",'Repeat Detail'!$B$6:$B$1005,$A341))</x:f>
      </x:c>
      <x:c r="E341" s="20" t="str">
        <x:f>IF($A341="","",SUMIFS('Repeat Detail'!$L$6:$L$1005,'Repeat Detail'!$A$6:$A$1005,"Daily",'Repeat Detail'!$B$6:$B$1005,$A341))</x:f>
      </x:c>
      <x:c r="F341" s="22" t="str">
        <x:f>IF(A341="","",IF(D341=0,"n.a.",E341/D341))</x:f>
      </x:c>
      <x:c r="G341" s="20" t="str">
        <x:f>IF($A341="","",SUMIFS('Repeat Detail'!$M$6:$M$1005,'Repeat Detail'!$A$6:$A$1005,"Daily",'Repeat Detail'!$B$6:$B$1005,$A341))</x:f>
      </x:c>
      <x:c r="H341" s="22" t="str">
        <x:f>IF(A341="","",IF(C341=0,"n.a.",G341/C341))</x:f>
      </x:c>
      <x:c r="I341" s="20" t="str">
        <x:f>IF($A341="","",SUMIFS('Repeat Detail'!$N$6:$N$1005,'Repeat Detail'!$A$6:$A$1005,"Daily",'Repeat Detail'!$B$6:$B$1005,$A341))</x:f>
      </x:c>
      <x:c r="J341" s="20" t="str">
        <x:f>IF(A341="","",B341-C341)</x:f>
      </x:c>
    </x:row>
    <x:row r="342">
      <x:c r="A342" s="12" t="str">
        <x:f>IF(A341="","",IF(A341+1&gt;IF(AND(COUNTIF('Repeat Detail'!$A$6:$A$1005,"Quality")=21,COUNTIF('Repeat Detail'!$A$6:$A$1005,"Menu")=12,COUNTIF('Repeat Detail'!$A$6:$A$1005,"Daily")=SUMIFS('Repeat Detail'!$O$6:$O$1005,'Repeat Detail'!$A$6:$A$1005,"Quality",'Repeat Detail'!$H$6:$H$1005,"Date span")),SUMIFS('Repeat Detail'!$O$6:$O$1005,'Repeat Detail'!$A$6:$A$1005,"Quality",'Repeat Detail'!$H$6:$H$1005,"Last date"),NA()),"",A341+1))</x:f>
      </x:c>
      <x:c r="B342" s="20" t="str">
        <x:f>IF($A342="","",SUMIFS('Repeat Detail'!$I$6:$I$1005,'Repeat Detail'!$A$6:$A$1005,"Daily",'Repeat Detail'!$B$6:$B$1005,$A342))</x:f>
      </x:c>
      <x:c r="C342" s="20" t="str">
        <x:f>IF($A342="","",SUMIFS('Repeat Detail'!$J$6:$J$1005,'Repeat Detail'!$A$6:$A$1005,"Daily",'Repeat Detail'!$B$6:$B$1005,$A342))</x:f>
      </x:c>
      <x:c r="D342" s="20" t="str">
        <x:f>IF($A342="","",SUMIFS('Repeat Detail'!$K$6:$K$1005,'Repeat Detail'!$A$6:$A$1005,"Daily",'Repeat Detail'!$B$6:$B$1005,$A342))</x:f>
      </x:c>
      <x:c r="E342" s="20" t="str">
        <x:f>IF($A342="","",SUMIFS('Repeat Detail'!$L$6:$L$1005,'Repeat Detail'!$A$6:$A$1005,"Daily",'Repeat Detail'!$B$6:$B$1005,$A342))</x:f>
      </x:c>
      <x:c r="F342" s="22" t="str">
        <x:f>IF(A342="","",IF(D342=0,"n.a.",E342/D342))</x:f>
      </x:c>
      <x:c r="G342" s="20" t="str">
        <x:f>IF($A342="","",SUMIFS('Repeat Detail'!$M$6:$M$1005,'Repeat Detail'!$A$6:$A$1005,"Daily",'Repeat Detail'!$B$6:$B$1005,$A342))</x:f>
      </x:c>
      <x:c r="H342" s="22" t="str">
        <x:f>IF(A342="","",IF(C342=0,"n.a.",G342/C342))</x:f>
      </x:c>
      <x:c r="I342" s="20" t="str">
        <x:f>IF($A342="","",SUMIFS('Repeat Detail'!$N$6:$N$1005,'Repeat Detail'!$A$6:$A$1005,"Daily",'Repeat Detail'!$B$6:$B$1005,$A342))</x:f>
      </x:c>
      <x:c r="J342" s="20" t="str">
        <x:f>IF(A342="","",B342-C342)</x:f>
      </x:c>
    </x:row>
    <x:row r="343">
      <x:c r="A343" s="12" t="str">
        <x:f>IF(A342="","",IF(A342+1&gt;IF(AND(COUNTIF('Repeat Detail'!$A$6:$A$1005,"Quality")=21,COUNTIF('Repeat Detail'!$A$6:$A$1005,"Menu")=12,COUNTIF('Repeat Detail'!$A$6:$A$1005,"Daily")=SUMIFS('Repeat Detail'!$O$6:$O$1005,'Repeat Detail'!$A$6:$A$1005,"Quality",'Repeat Detail'!$H$6:$H$1005,"Date span")),SUMIFS('Repeat Detail'!$O$6:$O$1005,'Repeat Detail'!$A$6:$A$1005,"Quality",'Repeat Detail'!$H$6:$H$1005,"Last date"),NA()),"",A342+1))</x:f>
      </x:c>
      <x:c r="B343" s="20" t="str">
        <x:f>IF($A343="","",SUMIFS('Repeat Detail'!$I$6:$I$1005,'Repeat Detail'!$A$6:$A$1005,"Daily",'Repeat Detail'!$B$6:$B$1005,$A343))</x:f>
      </x:c>
      <x:c r="C343" s="20" t="str">
        <x:f>IF($A343="","",SUMIFS('Repeat Detail'!$J$6:$J$1005,'Repeat Detail'!$A$6:$A$1005,"Daily",'Repeat Detail'!$B$6:$B$1005,$A343))</x:f>
      </x:c>
      <x:c r="D343" s="20" t="str">
        <x:f>IF($A343="","",SUMIFS('Repeat Detail'!$K$6:$K$1005,'Repeat Detail'!$A$6:$A$1005,"Daily",'Repeat Detail'!$B$6:$B$1005,$A343))</x:f>
      </x:c>
      <x:c r="E343" s="20" t="str">
        <x:f>IF($A343="","",SUMIFS('Repeat Detail'!$L$6:$L$1005,'Repeat Detail'!$A$6:$A$1005,"Daily",'Repeat Detail'!$B$6:$B$1005,$A343))</x:f>
      </x:c>
      <x:c r="F343" s="22" t="str">
        <x:f>IF(A343="","",IF(D343=0,"n.a.",E343/D343))</x:f>
      </x:c>
      <x:c r="G343" s="20" t="str">
        <x:f>IF($A343="","",SUMIFS('Repeat Detail'!$M$6:$M$1005,'Repeat Detail'!$A$6:$A$1005,"Daily",'Repeat Detail'!$B$6:$B$1005,$A343))</x:f>
      </x:c>
      <x:c r="H343" s="22" t="str">
        <x:f>IF(A343="","",IF(C343=0,"n.a.",G343/C343))</x:f>
      </x:c>
      <x:c r="I343" s="20" t="str">
        <x:f>IF($A343="","",SUMIFS('Repeat Detail'!$N$6:$N$1005,'Repeat Detail'!$A$6:$A$1005,"Daily",'Repeat Detail'!$B$6:$B$1005,$A343))</x:f>
      </x:c>
      <x:c r="J343" s="20" t="str">
        <x:f>IF(A343="","",B343-C343)</x:f>
      </x:c>
    </x:row>
    <x:row r="344">
      <x:c r="A344" s="12" t="str">
        <x:f>IF(A343="","",IF(A343+1&gt;IF(AND(COUNTIF('Repeat Detail'!$A$6:$A$1005,"Quality")=21,COUNTIF('Repeat Detail'!$A$6:$A$1005,"Menu")=12,COUNTIF('Repeat Detail'!$A$6:$A$1005,"Daily")=SUMIFS('Repeat Detail'!$O$6:$O$1005,'Repeat Detail'!$A$6:$A$1005,"Quality",'Repeat Detail'!$H$6:$H$1005,"Date span")),SUMIFS('Repeat Detail'!$O$6:$O$1005,'Repeat Detail'!$A$6:$A$1005,"Quality",'Repeat Detail'!$H$6:$H$1005,"Last date"),NA()),"",A343+1))</x:f>
      </x:c>
      <x:c r="B344" s="20" t="str">
        <x:f>IF($A344="","",SUMIFS('Repeat Detail'!$I$6:$I$1005,'Repeat Detail'!$A$6:$A$1005,"Daily",'Repeat Detail'!$B$6:$B$1005,$A344))</x:f>
      </x:c>
      <x:c r="C344" s="20" t="str">
        <x:f>IF($A344="","",SUMIFS('Repeat Detail'!$J$6:$J$1005,'Repeat Detail'!$A$6:$A$1005,"Daily",'Repeat Detail'!$B$6:$B$1005,$A344))</x:f>
      </x:c>
      <x:c r="D344" s="20" t="str">
        <x:f>IF($A344="","",SUMIFS('Repeat Detail'!$K$6:$K$1005,'Repeat Detail'!$A$6:$A$1005,"Daily",'Repeat Detail'!$B$6:$B$1005,$A344))</x:f>
      </x:c>
      <x:c r="E344" s="20" t="str">
        <x:f>IF($A344="","",SUMIFS('Repeat Detail'!$L$6:$L$1005,'Repeat Detail'!$A$6:$A$1005,"Daily",'Repeat Detail'!$B$6:$B$1005,$A344))</x:f>
      </x:c>
      <x:c r="F344" s="22" t="str">
        <x:f>IF(A344="","",IF(D344=0,"n.a.",E344/D344))</x:f>
      </x:c>
      <x:c r="G344" s="20" t="str">
        <x:f>IF($A344="","",SUMIFS('Repeat Detail'!$M$6:$M$1005,'Repeat Detail'!$A$6:$A$1005,"Daily",'Repeat Detail'!$B$6:$B$1005,$A344))</x:f>
      </x:c>
      <x:c r="H344" s="22" t="str">
        <x:f>IF(A344="","",IF(C344=0,"n.a.",G344/C344))</x:f>
      </x:c>
      <x:c r="I344" s="20" t="str">
        <x:f>IF($A344="","",SUMIFS('Repeat Detail'!$N$6:$N$1005,'Repeat Detail'!$A$6:$A$1005,"Daily",'Repeat Detail'!$B$6:$B$1005,$A344))</x:f>
      </x:c>
      <x:c r="J344" s="20" t="str">
        <x:f>IF(A344="","",B344-C344)</x:f>
      </x:c>
    </x:row>
    <x:row r="345">
      <x:c r="A345" s="12" t="str">
        <x:f>IF(A344="","",IF(A344+1&gt;IF(AND(COUNTIF('Repeat Detail'!$A$6:$A$1005,"Quality")=21,COUNTIF('Repeat Detail'!$A$6:$A$1005,"Menu")=12,COUNTIF('Repeat Detail'!$A$6:$A$1005,"Daily")=SUMIFS('Repeat Detail'!$O$6:$O$1005,'Repeat Detail'!$A$6:$A$1005,"Quality",'Repeat Detail'!$H$6:$H$1005,"Date span")),SUMIFS('Repeat Detail'!$O$6:$O$1005,'Repeat Detail'!$A$6:$A$1005,"Quality",'Repeat Detail'!$H$6:$H$1005,"Last date"),NA()),"",A344+1))</x:f>
      </x:c>
      <x:c r="B345" s="20" t="str">
        <x:f>IF($A345="","",SUMIFS('Repeat Detail'!$I$6:$I$1005,'Repeat Detail'!$A$6:$A$1005,"Daily",'Repeat Detail'!$B$6:$B$1005,$A345))</x:f>
      </x:c>
      <x:c r="C345" s="20" t="str">
        <x:f>IF($A345="","",SUMIFS('Repeat Detail'!$J$6:$J$1005,'Repeat Detail'!$A$6:$A$1005,"Daily",'Repeat Detail'!$B$6:$B$1005,$A345))</x:f>
      </x:c>
      <x:c r="D345" s="20" t="str">
        <x:f>IF($A345="","",SUMIFS('Repeat Detail'!$K$6:$K$1005,'Repeat Detail'!$A$6:$A$1005,"Daily",'Repeat Detail'!$B$6:$B$1005,$A345))</x:f>
      </x:c>
      <x:c r="E345" s="20" t="str">
        <x:f>IF($A345="","",SUMIFS('Repeat Detail'!$L$6:$L$1005,'Repeat Detail'!$A$6:$A$1005,"Daily",'Repeat Detail'!$B$6:$B$1005,$A345))</x:f>
      </x:c>
      <x:c r="F345" s="22" t="str">
        <x:f>IF(A345="","",IF(D345=0,"n.a.",E345/D345))</x:f>
      </x:c>
      <x:c r="G345" s="20" t="str">
        <x:f>IF($A345="","",SUMIFS('Repeat Detail'!$M$6:$M$1005,'Repeat Detail'!$A$6:$A$1005,"Daily",'Repeat Detail'!$B$6:$B$1005,$A345))</x:f>
      </x:c>
      <x:c r="H345" s="22" t="str">
        <x:f>IF(A345="","",IF(C345=0,"n.a.",G345/C345))</x:f>
      </x:c>
      <x:c r="I345" s="20" t="str">
        <x:f>IF($A345="","",SUMIFS('Repeat Detail'!$N$6:$N$1005,'Repeat Detail'!$A$6:$A$1005,"Daily",'Repeat Detail'!$B$6:$B$1005,$A345))</x:f>
      </x:c>
      <x:c r="J345" s="20" t="str">
        <x:f>IF(A345="","",B345-C345)</x:f>
      </x:c>
    </x:row>
    <x:row r="346">
      <x:c r="A346" s="12" t="str">
        <x:f>IF(A345="","",IF(A345+1&gt;IF(AND(COUNTIF('Repeat Detail'!$A$6:$A$1005,"Quality")=21,COUNTIF('Repeat Detail'!$A$6:$A$1005,"Menu")=12,COUNTIF('Repeat Detail'!$A$6:$A$1005,"Daily")=SUMIFS('Repeat Detail'!$O$6:$O$1005,'Repeat Detail'!$A$6:$A$1005,"Quality",'Repeat Detail'!$H$6:$H$1005,"Date span")),SUMIFS('Repeat Detail'!$O$6:$O$1005,'Repeat Detail'!$A$6:$A$1005,"Quality",'Repeat Detail'!$H$6:$H$1005,"Last date"),NA()),"",A345+1))</x:f>
      </x:c>
      <x:c r="B346" s="20" t="str">
        <x:f>IF($A346="","",SUMIFS('Repeat Detail'!$I$6:$I$1005,'Repeat Detail'!$A$6:$A$1005,"Daily",'Repeat Detail'!$B$6:$B$1005,$A346))</x:f>
      </x:c>
      <x:c r="C346" s="20" t="str">
        <x:f>IF($A346="","",SUMIFS('Repeat Detail'!$J$6:$J$1005,'Repeat Detail'!$A$6:$A$1005,"Daily",'Repeat Detail'!$B$6:$B$1005,$A346))</x:f>
      </x:c>
      <x:c r="D346" s="20" t="str">
        <x:f>IF($A346="","",SUMIFS('Repeat Detail'!$K$6:$K$1005,'Repeat Detail'!$A$6:$A$1005,"Daily",'Repeat Detail'!$B$6:$B$1005,$A346))</x:f>
      </x:c>
      <x:c r="E346" s="20" t="str">
        <x:f>IF($A346="","",SUMIFS('Repeat Detail'!$L$6:$L$1005,'Repeat Detail'!$A$6:$A$1005,"Daily",'Repeat Detail'!$B$6:$B$1005,$A346))</x:f>
      </x:c>
      <x:c r="F346" s="22" t="str">
        <x:f>IF(A346="","",IF(D346=0,"n.a.",E346/D346))</x:f>
      </x:c>
      <x:c r="G346" s="20" t="str">
        <x:f>IF($A346="","",SUMIFS('Repeat Detail'!$M$6:$M$1005,'Repeat Detail'!$A$6:$A$1005,"Daily",'Repeat Detail'!$B$6:$B$1005,$A346))</x:f>
      </x:c>
      <x:c r="H346" s="22" t="str">
        <x:f>IF(A346="","",IF(C346=0,"n.a.",G346/C346))</x:f>
      </x:c>
      <x:c r="I346" s="20" t="str">
        <x:f>IF($A346="","",SUMIFS('Repeat Detail'!$N$6:$N$1005,'Repeat Detail'!$A$6:$A$1005,"Daily",'Repeat Detail'!$B$6:$B$1005,$A346))</x:f>
      </x:c>
      <x:c r="J346" s="20" t="str">
        <x:f>IF(A346="","",B346-C346)</x:f>
      </x:c>
    </x:row>
    <x:row r="347">
      <x:c r="A347" s="12" t="str">
        <x:f>IF(A346="","",IF(A346+1&gt;IF(AND(COUNTIF('Repeat Detail'!$A$6:$A$1005,"Quality")=21,COUNTIF('Repeat Detail'!$A$6:$A$1005,"Menu")=12,COUNTIF('Repeat Detail'!$A$6:$A$1005,"Daily")=SUMIFS('Repeat Detail'!$O$6:$O$1005,'Repeat Detail'!$A$6:$A$1005,"Quality",'Repeat Detail'!$H$6:$H$1005,"Date span")),SUMIFS('Repeat Detail'!$O$6:$O$1005,'Repeat Detail'!$A$6:$A$1005,"Quality",'Repeat Detail'!$H$6:$H$1005,"Last date"),NA()),"",A346+1))</x:f>
      </x:c>
      <x:c r="B347" s="20" t="str">
        <x:f>IF($A347="","",SUMIFS('Repeat Detail'!$I$6:$I$1005,'Repeat Detail'!$A$6:$A$1005,"Daily",'Repeat Detail'!$B$6:$B$1005,$A347))</x:f>
      </x:c>
      <x:c r="C347" s="20" t="str">
        <x:f>IF($A347="","",SUMIFS('Repeat Detail'!$J$6:$J$1005,'Repeat Detail'!$A$6:$A$1005,"Daily",'Repeat Detail'!$B$6:$B$1005,$A347))</x:f>
      </x:c>
      <x:c r="D347" s="20" t="str">
        <x:f>IF($A347="","",SUMIFS('Repeat Detail'!$K$6:$K$1005,'Repeat Detail'!$A$6:$A$1005,"Daily",'Repeat Detail'!$B$6:$B$1005,$A347))</x:f>
      </x:c>
      <x:c r="E347" s="20" t="str">
        <x:f>IF($A347="","",SUMIFS('Repeat Detail'!$L$6:$L$1005,'Repeat Detail'!$A$6:$A$1005,"Daily",'Repeat Detail'!$B$6:$B$1005,$A347))</x:f>
      </x:c>
      <x:c r="F347" s="22" t="str">
        <x:f>IF(A347="","",IF(D347=0,"n.a.",E347/D347))</x:f>
      </x:c>
      <x:c r="G347" s="20" t="str">
        <x:f>IF($A347="","",SUMIFS('Repeat Detail'!$M$6:$M$1005,'Repeat Detail'!$A$6:$A$1005,"Daily",'Repeat Detail'!$B$6:$B$1005,$A347))</x:f>
      </x:c>
      <x:c r="H347" s="22" t="str">
        <x:f>IF(A347="","",IF(C347=0,"n.a.",G347/C347))</x:f>
      </x:c>
      <x:c r="I347" s="20" t="str">
        <x:f>IF($A347="","",SUMIFS('Repeat Detail'!$N$6:$N$1005,'Repeat Detail'!$A$6:$A$1005,"Daily",'Repeat Detail'!$B$6:$B$1005,$A347))</x:f>
      </x:c>
      <x:c r="J347" s="20" t="str">
        <x:f>IF(A347="","",B347-C347)</x:f>
      </x:c>
    </x:row>
    <x:row r="348">
      <x:c r="A348" s="12" t="str">
        <x:f>IF(A347="","",IF(A347+1&gt;IF(AND(COUNTIF('Repeat Detail'!$A$6:$A$1005,"Quality")=21,COUNTIF('Repeat Detail'!$A$6:$A$1005,"Menu")=12,COUNTIF('Repeat Detail'!$A$6:$A$1005,"Daily")=SUMIFS('Repeat Detail'!$O$6:$O$1005,'Repeat Detail'!$A$6:$A$1005,"Quality",'Repeat Detail'!$H$6:$H$1005,"Date span")),SUMIFS('Repeat Detail'!$O$6:$O$1005,'Repeat Detail'!$A$6:$A$1005,"Quality",'Repeat Detail'!$H$6:$H$1005,"Last date"),NA()),"",A347+1))</x:f>
      </x:c>
      <x:c r="B348" s="20" t="str">
        <x:f>IF($A348="","",SUMIFS('Repeat Detail'!$I$6:$I$1005,'Repeat Detail'!$A$6:$A$1005,"Daily",'Repeat Detail'!$B$6:$B$1005,$A348))</x:f>
      </x:c>
      <x:c r="C348" s="20" t="str">
        <x:f>IF($A348="","",SUMIFS('Repeat Detail'!$J$6:$J$1005,'Repeat Detail'!$A$6:$A$1005,"Daily",'Repeat Detail'!$B$6:$B$1005,$A348))</x:f>
      </x:c>
      <x:c r="D348" s="20" t="str">
        <x:f>IF($A348="","",SUMIFS('Repeat Detail'!$K$6:$K$1005,'Repeat Detail'!$A$6:$A$1005,"Daily",'Repeat Detail'!$B$6:$B$1005,$A348))</x:f>
      </x:c>
      <x:c r="E348" s="20" t="str">
        <x:f>IF($A348="","",SUMIFS('Repeat Detail'!$L$6:$L$1005,'Repeat Detail'!$A$6:$A$1005,"Daily",'Repeat Detail'!$B$6:$B$1005,$A348))</x:f>
      </x:c>
      <x:c r="F348" s="22" t="str">
        <x:f>IF(A348="","",IF(D348=0,"n.a.",E348/D348))</x:f>
      </x:c>
      <x:c r="G348" s="20" t="str">
        <x:f>IF($A348="","",SUMIFS('Repeat Detail'!$M$6:$M$1005,'Repeat Detail'!$A$6:$A$1005,"Daily",'Repeat Detail'!$B$6:$B$1005,$A348))</x:f>
      </x:c>
      <x:c r="H348" s="22" t="str">
        <x:f>IF(A348="","",IF(C348=0,"n.a.",G348/C348))</x:f>
      </x:c>
      <x:c r="I348" s="20" t="str">
        <x:f>IF($A348="","",SUMIFS('Repeat Detail'!$N$6:$N$1005,'Repeat Detail'!$A$6:$A$1005,"Daily",'Repeat Detail'!$B$6:$B$1005,$A348))</x:f>
      </x:c>
      <x:c r="J348" s="20" t="str">
        <x:f>IF(A348="","",B348-C348)</x:f>
      </x:c>
    </x:row>
    <x:row r="349">
      <x:c r="A349" s="12" t="str">
        <x:f>IF(A348="","",IF(A348+1&gt;IF(AND(COUNTIF('Repeat Detail'!$A$6:$A$1005,"Quality")=21,COUNTIF('Repeat Detail'!$A$6:$A$1005,"Menu")=12,COUNTIF('Repeat Detail'!$A$6:$A$1005,"Daily")=SUMIFS('Repeat Detail'!$O$6:$O$1005,'Repeat Detail'!$A$6:$A$1005,"Quality",'Repeat Detail'!$H$6:$H$1005,"Date span")),SUMIFS('Repeat Detail'!$O$6:$O$1005,'Repeat Detail'!$A$6:$A$1005,"Quality",'Repeat Detail'!$H$6:$H$1005,"Last date"),NA()),"",A348+1))</x:f>
      </x:c>
      <x:c r="B349" s="20" t="str">
        <x:f>IF($A349="","",SUMIFS('Repeat Detail'!$I$6:$I$1005,'Repeat Detail'!$A$6:$A$1005,"Daily",'Repeat Detail'!$B$6:$B$1005,$A349))</x:f>
      </x:c>
      <x:c r="C349" s="20" t="str">
        <x:f>IF($A349="","",SUMIFS('Repeat Detail'!$J$6:$J$1005,'Repeat Detail'!$A$6:$A$1005,"Daily",'Repeat Detail'!$B$6:$B$1005,$A349))</x:f>
      </x:c>
      <x:c r="D349" s="20" t="str">
        <x:f>IF($A349="","",SUMIFS('Repeat Detail'!$K$6:$K$1005,'Repeat Detail'!$A$6:$A$1005,"Daily",'Repeat Detail'!$B$6:$B$1005,$A349))</x:f>
      </x:c>
      <x:c r="E349" s="20" t="str">
        <x:f>IF($A349="","",SUMIFS('Repeat Detail'!$L$6:$L$1005,'Repeat Detail'!$A$6:$A$1005,"Daily",'Repeat Detail'!$B$6:$B$1005,$A349))</x:f>
      </x:c>
      <x:c r="F349" s="22" t="str">
        <x:f>IF(A349="","",IF(D349=0,"n.a.",E349/D349))</x:f>
      </x:c>
      <x:c r="G349" s="20" t="str">
        <x:f>IF($A349="","",SUMIFS('Repeat Detail'!$M$6:$M$1005,'Repeat Detail'!$A$6:$A$1005,"Daily",'Repeat Detail'!$B$6:$B$1005,$A349))</x:f>
      </x:c>
      <x:c r="H349" s="22" t="str">
        <x:f>IF(A349="","",IF(C349=0,"n.a.",G349/C349))</x:f>
      </x:c>
      <x:c r="I349" s="20" t="str">
        <x:f>IF($A349="","",SUMIFS('Repeat Detail'!$N$6:$N$1005,'Repeat Detail'!$A$6:$A$1005,"Daily",'Repeat Detail'!$B$6:$B$1005,$A349))</x:f>
      </x:c>
      <x:c r="J349" s="20" t="str">
        <x:f>IF(A349="","",B349-C349)</x:f>
      </x:c>
    </x:row>
    <x:row r="350">
      <x:c r="A350" s="12" t="str">
        <x:f>IF(A349="","",IF(A349+1&gt;IF(AND(COUNTIF('Repeat Detail'!$A$6:$A$1005,"Quality")=21,COUNTIF('Repeat Detail'!$A$6:$A$1005,"Menu")=12,COUNTIF('Repeat Detail'!$A$6:$A$1005,"Daily")=SUMIFS('Repeat Detail'!$O$6:$O$1005,'Repeat Detail'!$A$6:$A$1005,"Quality",'Repeat Detail'!$H$6:$H$1005,"Date span")),SUMIFS('Repeat Detail'!$O$6:$O$1005,'Repeat Detail'!$A$6:$A$1005,"Quality",'Repeat Detail'!$H$6:$H$1005,"Last date"),NA()),"",A349+1))</x:f>
      </x:c>
      <x:c r="B350" s="20" t="str">
        <x:f>IF($A350="","",SUMIFS('Repeat Detail'!$I$6:$I$1005,'Repeat Detail'!$A$6:$A$1005,"Daily",'Repeat Detail'!$B$6:$B$1005,$A350))</x:f>
      </x:c>
      <x:c r="C350" s="20" t="str">
        <x:f>IF($A350="","",SUMIFS('Repeat Detail'!$J$6:$J$1005,'Repeat Detail'!$A$6:$A$1005,"Daily",'Repeat Detail'!$B$6:$B$1005,$A350))</x:f>
      </x:c>
      <x:c r="D350" s="20" t="str">
        <x:f>IF($A350="","",SUMIFS('Repeat Detail'!$K$6:$K$1005,'Repeat Detail'!$A$6:$A$1005,"Daily",'Repeat Detail'!$B$6:$B$1005,$A350))</x:f>
      </x:c>
      <x:c r="E350" s="20" t="str">
        <x:f>IF($A350="","",SUMIFS('Repeat Detail'!$L$6:$L$1005,'Repeat Detail'!$A$6:$A$1005,"Daily",'Repeat Detail'!$B$6:$B$1005,$A350))</x:f>
      </x:c>
      <x:c r="F350" s="22" t="str">
        <x:f>IF(A350="","",IF(D350=0,"n.a.",E350/D350))</x:f>
      </x:c>
      <x:c r="G350" s="20" t="str">
        <x:f>IF($A350="","",SUMIFS('Repeat Detail'!$M$6:$M$1005,'Repeat Detail'!$A$6:$A$1005,"Daily",'Repeat Detail'!$B$6:$B$1005,$A350))</x:f>
      </x:c>
      <x:c r="H350" s="22" t="str">
        <x:f>IF(A350="","",IF(C350=0,"n.a.",G350/C350))</x:f>
      </x:c>
      <x:c r="I350" s="20" t="str">
        <x:f>IF($A350="","",SUMIFS('Repeat Detail'!$N$6:$N$1005,'Repeat Detail'!$A$6:$A$1005,"Daily",'Repeat Detail'!$B$6:$B$1005,$A350))</x:f>
      </x:c>
      <x:c r="J350" s="20" t="str">
        <x:f>IF(A350="","",B350-C350)</x:f>
      </x:c>
    </x:row>
    <x:row r="351">
      <x:c r="A351" s="12" t="str">
        <x:f>IF(A350="","",IF(A350+1&gt;IF(AND(COUNTIF('Repeat Detail'!$A$6:$A$1005,"Quality")=21,COUNTIF('Repeat Detail'!$A$6:$A$1005,"Menu")=12,COUNTIF('Repeat Detail'!$A$6:$A$1005,"Daily")=SUMIFS('Repeat Detail'!$O$6:$O$1005,'Repeat Detail'!$A$6:$A$1005,"Quality",'Repeat Detail'!$H$6:$H$1005,"Date span")),SUMIFS('Repeat Detail'!$O$6:$O$1005,'Repeat Detail'!$A$6:$A$1005,"Quality",'Repeat Detail'!$H$6:$H$1005,"Last date"),NA()),"",A350+1))</x:f>
      </x:c>
      <x:c r="B351" s="20" t="str">
        <x:f>IF($A351="","",SUMIFS('Repeat Detail'!$I$6:$I$1005,'Repeat Detail'!$A$6:$A$1005,"Daily",'Repeat Detail'!$B$6:$B$1005,$A351))</x:f>
      </x:c>
      <x:c r="C351" s="20" t="str">
        <x:f>IF($A351="","",SUMIFS('Repeat Detail'!$J$6:$J$1005,'Repeat Detail'!$A$6:$A$1005,"Daily",'Repeat Detail'!$B$6:$B$1005,$A351))</x:f>
      </x:c>
      <x:c r="D351" s="20" t="str">
        <x:f>IF($A351="","",SUMIFS('Repeat Detail'!$K$6:$K$1005,'Repeat Detail'!$A$6:$A$1005,"Daily",'Repeat Detail'!$B$6:$B$1005,$A351))</x:f>
      </x:c>
      <x:c r="E351" s="20" t="str">
        <x:f>IF($A351="","",SUMIFS('Repeat Detail'!$L$6:$L$1005,'Repeat Detail'!$A$6:$A$1005,"Daily",'Repeat Detail'!$B$6:$B$1005,$A351))</x:f>
      </x:c>
      <x:c r="F351" s="22" t="str">
        <x:f>IF(A351="","",IF(D351=0,"n.a.",E351/D351))</x:f>
      </x:c>
      <x:c r="G351" s="20" t="str">
        <x:f>IF($A351="","",SUMIFS('Repeat Detail'!$M$6:$M$1005,'Repeat Detail'!$A$6:$A$1005,"Daily",'Repeat Detail'!$B$6:$B$1005,$A351))</x:f>
      </x:c>
      <x:c r="H351" s="22" t="str">
        <x:f>IF(A351="","",IF(C351=0,"n.a.",G351/C351))</x:f>
      </x:c>
      <x:c r="I351" s="20" t="str">
        <x:f>IF($A351="","",SUMIFS('Repeat Detail'!$N$6:$N$1005,'Repeat Detail'!$A$6:$A$1005,"Daily",'Repeat Detail'!$B$6:$B$1005,$A351))</x:f>
      </x:c>
      <x:c r="J351" s="20" t="str">
        <x:f>IF(A351="","",B351-C351)</x:f>
      </x:c>
    </x:row>
    <x:row r="352">
      <x:c r="A352" s="12" t="str">
        <x:f>IF(A351="","",IF(A351+1&gt;IF(AND(COUNTIF('Repeat Detail'!$A$6:$A$1005,"Quality")=21,COUNTIF('Repeat Detail'!$A$6:$A$1005,"Menu")=12,COUNTIF('Repeat Detail'!$A$6:$A$1005,"Daily")=SUMIFS('Repeat Detail'!$O$6:$O$1005,'Repeat Detail'!$A$6:$A$1005,"Quality",'Repeat Detail'!$H$6:$H$1005,"Date span")),SUMIFS('Repeat Detail'!$O$6:$O$1005,'Repeat Detail'!$A$6:$A$1005,"Quality",'Repeat Detail'!$H$6:$H$1005,"Last date"),NA()),"",A351+1))</x:f>
      </x:c>
      <x:c r="B352" s="20" t="str">
        <x:f>IF($A352="","",SUMIFS('Repeat Detail'!$I$6:$I$1005,'Repeat Detail'!$A$6:$A$1005,"Daily",'Repeat Detail'!$B$6:$B$1005,$A352))</x:f>
      </x:c>
      <x:c r="C352" s="20" t="str">
        <x:f>IF($A352="","",SUMIFS('Repeat Detail'!$J$6:$J$1005,'Repeat Detail'!$A$6:$A$1005,"Daily",'Repeat Detail'!$B$6:$B$1005,$A352))</x:f>
      </x:c>
      <x:c r="D352" s="20" t="str">
        <x:f>IF($A352="","",SUMIFS('Repeat Detail'!$K$6:$K$1005,'Repeat Detail'!$A$6:$A$1005,"Daily",'Repeat Detail'!$B$6:$B$1005,$A352))</x:f>
      </x:c>
      <x:c r="E352" s="20" t="str">
        <x:f>IF($A352="","",SUMIFS('Repeat Detail'!$L$6:$L$1005,'Repeat Detail'!$A$6:$A$1005,"Daily",'Repeat Detail'!$B$6:$B$1005,$A352))</x:f>
      </x:c>
      <x:c r="F352" s="22" t="str">
        <x:f>IF(A352="","",IF(D352=0,"n.a.",E352/D352))</x:f>
      </x:c>
      <x:c r="G352" s="20" t="str">
        <x:f>IF($A352="","",SUMIFS('Repeat Detail'!$M$6:$M$1005,'Repeat Detail'!$A$6:$A$1005,"Daily",'Repeat Detail'!$B$6:$B$1005,$A352))</x:f>
      </x:c>
      <x:c r="H352" s="22" t="str">
        <x:f>IF(A352="","",IF(C352=0,"n.a.",G352/C352))</x:f>
      </x:c>
      <x:c r="I352" s="20" t="str">
        <x:f>IF($A352="","",SUMIFS('Repeat Detail'!$N$6:$N$1005,'Repeat Detail'!$A$6:$A$1005,"Daily",'Repeat Detail'!$B$6:$B$1005,$A352))</x:f>
      </x:c>
      <x:c r="J352" s="20" t="str">
        <x:f>IF(A352="","",B352-C352)</x:f>
      </x:c>
    </x:row>
    <x:row r="353">
      <x:c r="A353" s="12" t="str">
        <x:f>IF(A352="","",IF(A352+1&gt;IF(AND(COUNTIF('Repeat Detail'!$A$6:$A$1005,"Quality")=21,COUNTIF('Repeat Detail'!$A$6:$A$1005,"Menu")=12,COUNTIF('Repeat Detail'!$A$6:$A$1005,"Daily")=SUMIFS('Repeat Detail'!$O$6:$O$1005,'Repeat Detail'!$A$6:$A$1005,"Quality",'Repeat Detail'!$H$6:$H$1005,"Date span")),SUMIFS('Repeat Detail'!$O$6:$O$1005,'Repeat Detail'!$A$6:$A$1005,"Quality",'Repeat Detail'!$H$6:$H$1005,"Last date"),NA()),"",A352+1))</x:f>
      </x:c>
      <x:c r="B353" s="20" t="str">
        <x:f>IF($A353="","",SUMIFS('Repeat Detail'!$I$6:$I$1005,'Repeat Detail'!$A$6:$A$1005,"Daily",'Repeat Detail'!$B$6:$B$1005,$A353))</x:f>
      </x:c>
      <x:c r="C353" s="20" t="str">
        <x:f>IF($A353="","",SUMIFS('Repeat Detail'!$J$6:$J$1005,'Repeat Detail'!$A$6:$A$1005,"Daily",'Repeat Detail'!$B$6:$B$1005,$A353))</x:f>
      </x:c>
      <x:c r="D353" s="20" t="str">
        <x:f>IF($A353="","",SUMIFS('Repeat Detail'!$K$6:$K$1005,'Repeat Detail'!$A$6:$A$1005,"Daily",'Repeat Detail'!$B$6:$B$1005,$A353))</x:f>
      </x:c>
      <x:c r="E353" s="20" t="str">
        <x:f>IF($A353="","",SUMIFS('Repeat Detail'!$L$6:$L$1005,'Repeat Detail'!$A$6:$A$1005,"Daily",'Repeat Detail'!$B$6:$B$1005,$A353))</x:f>
      </x:c>
      <x:c r="F353" s="22" t="str">
        <x:f>IF(A353="","",IF(D353=0,"n.a.",E353/D353))</x:f>
      </x:c>
      <x:c r="G353" s="20" t="str">
        <x:f>IF($A353="","",SUMIFS('Repeat Detail'!$M$6:$M$1005,'Repeat Detail'!$A$6:$A$1005,"Daily",'Repeat Detail'!$B$6:$B$1005,$A353))</x:f>
      </x:c>
      <x:c r="H353" s="22" t="str">
        <x:f>IF(A353="","",IF(C353=0,"n.a.",G353/C353))</x:f>
      </x:c>
      <x:c r="I353" s="20" t="str">
        <x:f>IF($A353="","",SUMIFS('Repeat Detail'!$N$6:$N$1005,'Repeat Detail'!$A$6:$A$1005,"Daily",'Repeat Detail'!$B$6:$B$1005,$A353))</x:f>
      </x:c>
      <x:c r="J353" s="20" t="str">
        <x:f>IF(A353="","",B353-C353)</x:f>
      </x:c>
    </x:row>
    <x:row r="354">
      <x:c r="A354" s="12" t="str">
        <x:f>IF(A353="","",IF(A353+1&gt;IF(AND(COUNTIF('Repeat Detail'!$A$6:$A$1005,"Quality")=21,COUNTIF('Repeat Detail'!$A$6:$A$1005,"Menu")=12,COUNTIF('Repeat Detail'!$A$6:$A$1005,"Daily")=SUMIFS('Repeat Detail'!$O$6:$O$1005,'Repeat Detail'!$A$6:$A$1005,"Quality",'Repeat Detail'!$H$6:$H$1005,"Date span")),SUMIFS('Repeat Detail'!$O$6:$O$1005,'Repeat Detail'!$A$6:$A$1005,"Quality",'Repeat Detail'!$H$6:$H$1005,"Last date"),NA()),"",A353+1))</x:f>
      </x:c>
      <x:c r="B354" s="20" t="str">
        <x:f>IF($A354="","",SUMIFS('Repeat Detail'!$I$6:$I$1005,'Repeat Detail'!$A$6:$A$1005,"Daily",'Repeat Detail'!$B$6:$B$1005,$A354))</x:f>
      </x:c>
      <x:c r="C354" s="20" t="str">
        <x:f>IF($A354="","",SUMIFS('Repeat Detail'!$J$6:$J$1005,'Repeat Detail'!$A$6:$A$1005,"Daily",'Repeat Detail'!$B$6:$B$1005,$A354))</x:f>
      </x:c>
      <x:c r="D354" s="20" t="str">
        <x:f>IF($A354="","",SUMIFS('Repeat Detail'!$K$6:$K$1005,'Repeat Detail'!$A$6:$A$1005,"Daily",'Repeat Detail'!$B$6:$B$1005,$A354))</x:f>
      </x:c>
      <x:c r="E354" s="20" t="str">
        <x:f>IF($A354="","",SUMIFS('Repeat Detail'!$L$6:$L$1005,'Repeat Detail'!$A$6:$A$1005,"Daily",'Repeat Detail'!$B$6:$B$1005,$A354))</x:f>
      </x:c>
      <x:c r="F354" s="22" t="str">
        <x:f>IF(A354="","",IF(D354=0,"n.a.",E354/D354))</x:f>
      </x:c>
      <x:c r="G354" s="20" t="str">
        <x:f>IF($A354="","",SUMIFS('Repeat Detail'!$M$6:$M$1005,'Repeat Detail'!$A$6:$A$1005,"Daily",'Repeat Detail'!$B$6:$B$1005,$A354))</x:f>
      </x:c>
      <x:c r="H354" s="22" t="str">
        <x:f>IF(A354="","",IF(C354=0,"n.a.",G354/C354))</x:f>
      </x:c>
      <x:c r="I354" s="20" t="str">
        <x:f>IF($A354="","",SUMIFS('Repeat Detail'!$N$6:$N$1005,'Repeat Detail'!$A$6:$A$1005,"Daily",'Repeat Detail'!$B$6:$B$1005,$A354))</x:f>
      </x:c>
      <x:c r="J354" s="20" t="str">
        <x:f>IF(A354="","",B354-C354)</x:f>
      </x:c>
    </x:row>
    <x:row r="355">
      <x:c r="A355" s="12" t="str">
        <x:f>IF(A354="","",IF(A354+1&gt;IF(AND(COUNTIF('Repeat Detail'!$A$6:$A$1005,"Quality")=21,COUNTIF('Repeat Detail'!$A$6:$A$1005,"Menu")=12,COUNTIF('Repeat Detail'!$A$6:$A$1005,"Daily")=SUMIFS('Repeat Detail'!$O$6:$O$1005,'Repeat Detail'!$A$6:$A$1005,"Quality",'Repeat Detail'!$H$6:$H$1005,"Date span")),SUMIFS('Repeat Detail'!$O$6:$O$1005,'Repeat Detail'!$A$6:$A$1005,"Quality",'Repeat Detail'!$H$6:$H$1005,"Last date"),NA()),"",A354+1))</x:f>
      </x:c>
      <x:c r="B355" s="20" t="str">
        <x:f>IF($A355="","",SUMIFS('Repeat Detail'!$I$6:$I$1005,'Repeat Detail'!$A$6:$A$1005,"Daily",'Repeat Detail'!$B$6:$B$1005,$A355))</x:f>
      </x:c>
      <x:c r="C355" s="20" t="str">
        <x:f>IF($A355="","",SUMIFS('Repeat Detail'!$J$6:$J$1005,'Repeat Detail'!$A$6:$A$1005,"Daily",'Repeat Detail'!$B$6:$B$1005,$A355))</x:f>
      </x:c>
      <x:c r="D355" s="20" t="str">
        <x:f>IF($A355="","",SUMIFS('Repeat Detail'!$K$6:$K$1005,'Repeat Detail'!$A$6:$A$1005,"Daily",'Repeat Detail'!$B$6:$B$1005,$A355))</x:f>
      </x:c>
      <x:c r="E355" s="20" t="str">
        <x:f>IF($A355="","",SUMIFS('Repeat Detail'!$L$6:$L$1005,'Repeat Detail'!$A$6:$A$1005,"Daily",'Repeat Detail'!$B$6:$B$1005,$A355))</x:f>
      </x:c>
      <x:c r="F355" s="22" t="str">
        <x:f>IF(A355="","",IF(D355=0,"n.a.",E355/D355))</x:f>
      </x:c>
      <x:c r="G355" s="20" t="str">
        <x:f>IF($A355="","",SUMIFS('Repeat Detail'!$M$6:$M$1005,'Repeat Detail'!$A$6:$A$1005,"Daily",'Repeat Detail'!$B$6:$B$1005,$A355))</x:f>
      </x:c>
      <x:c r="H355" s="22" t="str">
        <x:f>IF(A355="","",IF(C355=0,"n.a.",G355/C355))</x:f>
      </x:c>
      <x:c r="I355" s="20" t="str">
        <x:f>IF($A355="","",SUMIFS('Repeat Detail'!$N$6:$N$1005,'Repeat Detail'!$A$6:$A$1005,"Daily",'Repeat Detail'!$B$6:$B$1005,$A355))</x:f>
      </x:c>
      <x:c r="J355" s="20" t="str">
        <x:f>IF(A355="","",B355-C355)</x:f>
      </x:c>
    </x:row>
    <x:row r="356">
      <x:c r="A356" s="12" t="str">
        <x:f>IF(A355="","",IF(A355+1&gt;IF(AND(COUNTIF('Repeat Detail'!$A$6:$A$1005,"Quality")=21,COUNTIF('Repeat Detail'!$A$6:$A$1005,"Menu")=12,COUNTIF('Repeat Detail'!$A$6:$A$1005,"Daily")=SUMIFS('Repeat Detail'!$O$6:$O$1005,'Repeat Detail'!$A$6:$A$1005,"Quality",'Repeat Detail'!$H$6:$H$1005,"Date span")),SUMIFS('Repeat Detail'!$O$6:$O$1005,'Repeat Detail'!$A$6:$A$1005,"Quality",'Repeat Detail'!$H$6:$H$1005,"Last date"),NA()),"",A355+1))</x:f>
      </x:c>
      <x:c r="B356" s="20" t="str">
        <x:f>IF($A356="","",SUMIFS('Repeat Detail'!$I$6:$I$1005,'Repeat Detail'!$A$6:$A$1005,"Daily",'Repeat Detail'!$B$6:$B$1005,$A356))</x:f>
      </x:c>
      <x:c r="C356" s="20" t="str">
        <x:f>IF($A356="","",SUMIFS('Repeat Detail'!$J$6:$J$1005,'Repeat Detail'!$A$6:$A$1005,"Daily",'Repeat Detail'!$B$6:$B$1005,$A356))</x:f>
      </x:c>
      <x:c r="D356" s="20" t="str">
        <x:f>IF($A356="","",SUMIFS('Repeat Detail'!$K$6:$K$1005,'Repeat Detail'!$A$6:$A$1005,"Daily",'Repeat Detail'!$B$6:$B$1005,$A356))</x:f>
      </x:c>
      <x:c r="E356" s="20" t="str">
        <x:f>IF($A356="","",SUMIFS('Repeat Detail'!$L$6:$L$1005,'Repeat Detail'!$A$6:$A$1005,"Daily",'Repeat Detail'!$B$6:$B$1005,$A356))</x:f>
      </x:c>
      <x:c r="F356" s="22" t="str">
        <x:f>IF(A356="","",IF(D356=0,"n.a.",E356/D356))</x:f>
      </x:c>
      <x:c r="G356" s="20" t="str">
        <x:f>IF($A356="","",SUMIFS('Repeat Detail'!$M$6:$M$1005,'Repeat Detail'!$A$6:$A$1005,"Daily",'Repeat Detail'!$B$6:$B$1005,$A356))</x:f>
      </x:c>
      <x:c r="H356" s="22" t="str">
        <x:f>IF(A356="","",IF(C356=0,"n.a.",G356/C356))</x:f>
      </x:c>
      <x:c r="I356" s="20" t="str">
        <x:f>IF($A356="","",SUMIFS('Repeat Detail'!$N$6:$N$1005,'Repeat Detail'!$A$6:$A$1005,"Daily",'Repeat Detail'!$B$6:$B$1005,$A356))</x:f>
      </x:c>
      <x:c r="J356" s="20" t="str">
        <x:f>IF(A356="","",B356-C356)</x:f>
      </x:c>
    </x:row>
    <x:row r="357">
      <x:c r="A357" s="12" t="str">
        <x:f>IF(A356="","",IF(A356+1&gt;IF(AND(COUNTIF('Repeat Detail'!$A$6:$A$1005,"Quality")=21,COUNTIF('Repeat Detail'!$A$6:$A$1005,"Menu")=12,COUNTIF('Repeat Detail'!$A$6:$A$1005,"Daily")=SUMIFS('Repeat Detail'!$O$6:$O$1005,'Repeat Detail'!$A$6:$A$1005,"Quality",'Repeat Detail'!$H$6:$H$1005,"Date span")),SUMIFS('Repeat Detail'!$O$6:$O$1005,'Repeat Detail'!$A$6:$A$1005,"Quality",'Repeat Detail'!$H$6:$H$1005,"Last date"),NA()),"",A356+1))</x:f>
      </x:c>
      <x:c r="B357" s="20" t="str">
        <x:f>IF($A357="","",SUMIFS('Repeat Detail'!$I$6:$I$1005,'Repeat Detail'!$A$6:$A$1005,"Daily",'Repeat Detail'!$B$6:$B$1005,$A357))</x:f>
      </x:c>
      <x:c r="C357" s="20" t="str">
        <x:f>IF($A357="","",SUMIFS('Repeat Detail'!$J$6:$J$1005,'Repeat Detail'!$A$6:$A$1005,"Daily",'Repeat Detail'!$B$6:$B$1005,$A357))</x:f>
      </x:c>
      <x:c r="D357" s="20" t="str">
        <x:f>IF($A357="","",SUMIFS('Repeat Detail'!$K$6:$K$1005,'Repeat Detail'!$A$6:$A$1005,"Daily",'Repeat Detail'!$B$6:$B$1005,$A357))</x:f>
      </x:c>
      <x:c r="E357" s="20" t="str">
        <x:f>IF($A357="","",SUMIFS('Repeat Detail'!$L$6:$L$1005,'Repeat Detail'!$A$6:$A$1005,"Daily",'Repeat Detail'!$B$6:$B$1005,$A357))</x:f>
      </x:c>
      <x:c r="F357" s="22" t="str">
        <x:f>IF(A357="","",IF(D357=0,"n.a.",E357/D357))</x:f>
      </x:c>
      <x:c r="G357" s="20" t="str">
        <x:f>IF($A357="","",SUMIFS('Repeat Detail'!$M$6:$M$1005,'Repeat Detail'!$A$6:$A$1005,"Daily",'Repeat Detail'!$B$6:$B$1005,$A357))</x:f>
      </x:c>
      <x:c r="H357" s="22" t="str">
        <x:f>IF(A357="","",IF(C357=0,"n.a.",G357/C357))</x:f>
      </x:c>
      <x:c r="I357" s="20" t="str">
        <x:f>IF($A357="","",SUMIFS('Repeat Detail'!$N$6:$N$1005,'Repeat Detail'!$A$6:$A$1005,"Daily",'Repeat Detail'!$B$6:$B$1005,$A357))</x:f>
      </x:c>
      <x:c r="J357" s="20" t="str">
        <x:f>IF(A357="","",B357-C357)</x:f>
      </x:c>
    </x:row>
    <x:row r="358">
      <x:c r="A358" s="12" t="str">
        <x:f>IF(A357="","",IF(A357+1&gt;IF(AND(COUNTIF('Repeat Detail'!$A$6:$A$1005,"Quality")=21,COUNTIF('Repeat Detail'!$A$6:$A$1005,"Menu")=12,COUNTIF('Repeat Detail'!$A$6:$A$1005,"Daily")=SUMIFS('Repeat Detail'!$O$6:$O$1005,'Repeat Detail'!$A$6:$A$1005,"Quality",'Repeat Detail'!$H$6:$H$1005,"Date span")),SUMIFS('Repeat Detail'!$O$6:$O$1005,'Repeat Detail'!$A$6:$A$1005,"Quality",'Repeat Detail'!$H$6:$H$1005,"Last date"),NA()),"",A357+1))</x:f>
      </x:c>
      <x:c r="B358" s="20" t="str">
        <x:f>IF($A358="","",SUMIFS('Repeat Detail'!$I$6:$I$1005,'Repeat Detail'!$A$6:$A$1005,"Daily",'Repeat Detail'!$B$6:$B$1005,$A358))</x:f>
      </x:c>
      <x:c r="C358" s="20" t="str">
        <x:f>IF($A358="","",SUMIFS('Repeat Detail'!$J$6:$J$1005,'Repeat Detail'!$A$6:$A$1005,"Daily",'Repeat Detail'!$B$6:$B$1005,$A358))</x:f>
      </x:c>
      <x:c r="D358" s="20" t="str">
        <x:f>IF($A358="","",SUMIFS('Repeat Detail'!$K$6:$K$1005,'Repeat Detail'!$A$6:$A$1005,"Daily",'Repeat Detail'!$B$6:$B$1005,$A358))</x:f>
      </x:c>
      <x:c r="E358" s="20" t="str">
        <x:f>IF($A358="","",SUMIFS('Repeat Detail'!$L$6:$L$1005,'Repeat Detail'!$A$6:$A$1005,"Daily",'Repeat Detail'!$B$6:$B$1005,$A358))</x:f>
      </x:c>
      <x:c r="F358" s="22" t="str">
        <x:f>IF(A358="","",IF(D358=0,"n.a.",E358/D358))</x:f>
      </x:c>
      <x:c r="G358" s="20" t="str">
        <x:f>IF($A358="","",SUMIFS('Repeat Detail'!$M$6:$M$1005,'Repeat Detail'!$A$6:$A$1005,"Daily",'Repeat Detail'!$B$6:$B$1005,$A358))</x:f>
      </x:c>
      <x:c r="H358" s="22" t="str">
        <x:f>IF(A358="","",IF(C358=0,"n.a.",G358/C358))</x:f>
      </x:c>
      <x:c r="I358" s="20" t="str">
        <x:f>IF($A358="","",SUMIFS('Repeat Detail'!$N$6:$N$1005,'Repeat Detail'!$A$6:$A$1005,"Daily",'Repeat Detail'!$B$6:$B$1005,$A358))</x:f>
      </x:c>
      <x:c r="J358" s="20" t="str">
        <x:f>IF(A358="","",B358-C358)</x:f>
      </x:c>
    </x:row>
    <x:row r="359">
      <x:c r="A359" s="12" t="str">
        <x:f>IF(A358="","",IF(A358+1&gt;IF(AND(COUNTIF('Repeat Detail'!$A$6:$A$1005,"Quality")=21,COUNTIF('Repeat Detail'!$A$6:$A$1005,"Menu")=12,COUNTIF('Repeat Detail'!$A$6:$A$1005,"Daily")=SUMIFS('Repeat Detail'!$O$6:$O$1005,'Repeat Detail'!$A$6:$A$1005,"Quality",'Repeat Detail'!$H$6:$H$1005,"Date span")),SUMIFS('Repeat Detail'!$O$6:$O$1005,'Repeat Detail'!$A$6:$A$1005,"Quality",'Repeat Detail'!$H$6:$H$1005,"Last date"),NA()),"",A358+1))</x:f>
      </x:c>
      <x:c r="B359" s="20" t="str">
        <x:f>IF($A359="","",SUMIFS('Repeat Detail'!$I$6:$I$1005,'Repeat Detail'!$A$6:$A$1005,"Daily",'Repeat Detail'!$B$6:$B$1005,$A359))</x:f>
      </x:c>
      <x:c r="C359" s="20" t="str">
        <x:f>IF($A359="","",SUMIFS('Repeat Detail'!$J$6:$J$1005,'Repeat Detail'!$A$6:$A$1005,"Daily",'Repeat Detail'!$B$6:$B$1005,$A359))</x:f>
      </x:c>
      <x:c r="D359" s="20" t="str">
        <x:f>IF($A359="","",SUMIFS('Repeat Detail'!$K$6:$K$1005,'Repeat Detail'!$A$6:$A$1005,"Daily",'Repeat Detail'!$B$6:$B$1005,$A359))</x:f>
      </x:c>
      <x:c r="E359" s="20" t="str">
        <x:f>IF($A359="","",SUMIFS('Repeat Detail'!$L$6:$L$1005,'Repeat Detail'!$A$6:$A$1005,"Daily",'Repeat Detail'!$B$6:$B$1005,$A359))</x:f>
      </x:c>
      <x:c r="F359" s="22" t="str">
        <x:f>IF(A359="","",IF(D359=0,"n.a.",E359/D359))</x:f>
      </x:c>
      <x:c r="G359" s="20" t="str">
        <x:f>IF($A359="","",SUMIFS('Repeat Detail'!$M$6:$M$1005,'Repeat Detail'!$A$6:$A$1005,"Daily",'Repeat Detail'!$B$6:$B$1005,$A359))</x:f>
      </x:c>
      <x:c r="H359" s="22" t="str">
        <x:f>IF(A359="","",IF(C359=0,"n.a.",G359/C359))</x:f>
      </x:c>
      <x:c r="I359" s="20" t="str">
        <x:f>IF($A359="","",SUMIFS('Repeat Detail'!$N$6:$N$1005,'Repeat Detail'!$A$6:$A$1005,"Daily",'Repeat Detail'!$B$6:$B$1005,$A359))</x:f>
      </x:c>
      <x:c r="J359" s="20" t="str">
        <x:f>IF(A359="","",B359-C359)</x:f>
      </x:c>
    </x:row>
    <x:row r="360">
      <x:c r="A360" s="12" t="str">
        <x:f>IF(A359="","",IF(A359+1&gt;IF(AND(COUNTIF('Repeat Detail'!$A$6:$A$1005,"Quality")=21,COUNTIF('Repeat Detail'!$A$6:$A$1005,"Menu")=12,COUNTIF('Repeat Detail'!$A$6:$A$1005,"Daily")=SUMIFS('Repeat Detail'!$O$6:$O$1005,'Repeat Detail'!$A$6:$A$1005,"Quality",'Repeat Detail'!$H$6:$H$1005,"Date span")),SUMIFS('Repeat Detail'!$O$6:$O$1005,'Repeat Detail'!$A$6:$A$1005,"Quality",'Repeat Detail'!$H$6:$H$1005,"Last date"),NA()),"",A359+1))</x:f>
      </x:c>
      <x:c r="B360" s="20" t="str">
        <x:f>IF($A360="","",SUMIFS('Repeat Detail'!$I$6:$I$1005,'Repeat Detail'!$A$6:$A$1005,"Daily",'Repeat Detail'!$B$6:$B$1005,$A360))</x:f>
      </x:c>
      <x:c r="C360" s="20" t="str">
        <x:f>IF($A360="","",SUMIFS('Repeat Detail'!$J$6:$J$1005,'Repeat Detail'!$A$6:$A$1005,"Daily",'Repeat Detail'!$B$6:$B$1005,$A360))</x:f>
      </x:c>
      <x:c r="D360" s="20" t="str">
        <x:f>IF($A360="","",SUMIFS('Repeat Detail'!$K$6:$K$1005,'Repeat Detail'!$A$6:$A$1005,"Daily",'Repeat Detail'!$B$6:$B$1005,$A360))</x:f>
      </x:c>
      <x:c r="E360" s="20" t="str">
        <x:f>IF($A360="","",SUMIFS('Repeat Detail'!$L$6:$L$1005,'Repeat Detail'!$A$6:$A$1005,"Daily",'Repeat Detail'!$B$6:$B$1005,$A360))</x:f>
      </x:c>
      <x:c r="F360" s="22" t="str">
        <x:f>IF(A360="","",IF(D360=0,"n.a.",E360/D360))</x:f>
      </x:c>
      <x:c r="G360" s="20" t="str">
        <x:f>IF($A360="","",SUMIFS('Repeat Detail'!$M$6:$M$1005,'Repeat Detail'!$A$6:$A$1005,"Daily",'Repeat Detail'!$B$6:$B$1005,$A360))</x:f>
      </x:c>
      <x:c r="H360" s="22" t="str">
        <x:f>IF(A360="","",IF(C360=0,"n.a.",G360/C360))</x:f>
      </x:c>
      <x:c r="I360" s="20" t="str">
        <x:f>IF($A360="","",SUMIFS('Repeat Detail'!$N$6:$N$1005,'Repeat Detail'!$A$6:$A$1005,"Daily",'Repeat Detail'!$B$6:$B$1005,$A360))</x:f>
      </x:c>
      <x:c r="J360" s="20" t="str">
        <x:f>IF(A360="","",B360-C360)</x:f>
      </x:c>
    </x:row>
    <x:row r="361">
      <x:c r="A361" s="12" t="str">
        <x:f>IF(A360="","",IF(A360+1&gt;IF(AND(COUNTIF('Repeat Detail'!$A$6:$A$1005,"Quality")=21,COUNTIF('Repeat Detail'!$A$6:$A$1005,"Menu")=12,COUNTIF('Repeat Detail'!$A$6:$A$1005,"Daily")=SUMIFS('Repeat Detail'!$O$6:$O$1005,'Repeat Detail'!$A$6:$A$1005,"Quality",'Repeat Detail'!$H$6:$H$1005,"Date span")),SUMIFS('Repeat Detail'!$O$6:$O$1005,'Repeat Detail'!$A$6:$A$1005,"Quality",'Repeat Detail'!$H$6:$H$1005,"Last date"),NA()),"",A360+1))</x:f>
      </x:c>
      <x:c r="B361" s="20" t="str">
        <x:f>IF($A361="","",SUMIFS('Repeat Detail'!$I$6:$I$1005,'Repeat Detail'!$A$6:$A$1005,"Daily",'Repeat Detail'!$B$6:$B$1005,$A361))</x:f>
      </x:c>
      <x:c r="C361" s="20" t="str">
        <x:f>IF($A361="","",SUMIFS('Repeat Detail'!$J$6:$J$1005,'Repeat Detail'!$A$6:$A$1005,"Daily",'Repeat Detail'!$B$6:$B$1005,$A361))</x:f>
      </x:c>
      <x:c r="D361" s="20" t="str">
        <x:f>IF($A361="","",SUMIFS('Repeat Detail'!$K$6:$K$1005,'Repeat Detail'!$A$6:$A$1005,"Daily",'Repeat Detail'!$B$6:$B$1005,$A361))</x:f>
      </x:c>
      <x:c r="E361" s="20" t="str">
        <x:f>IF($A361="","",SUMIFS('Repeat Detail'!$L$6:$L$1005,'Repeat Detail'!$A$6:$A$1005,"Daily",'Repeat Detail'!$B$6:$B$1005,$A361))</x:f>
      </x:c>
      <x:c r="F361" s="22" t="str">
        <x:f>IF(A361="","",IF(D361=0,"n.a.",E361/D361))</x:f>
      </x:c>
      <x:c r="G361" s="20" t="str">
        <x:f>IF($A361="","",SUMIFS('Repeat Detail'!$M$6:$M$1005,'Repeat Detail'!$A$6:$A$1005,"Daily",'Repeat Detail'!$B$6:$B$1005,$A361))</x:f>
      </x:c>
      <x:c r="H361" s="22" t="str">
        <x:f>IF(A361="","",IF(C361=0,"n.a.",G361/C361))</x:f>
      </x:c>
      <x:c r="I361" s="20" t="str">
        <x:f>IF($A361="","",SUMIFS('Repeat Detail'!$N$6:$N$1005,'Repeat Detail'!$A$6:$A$1005,"Daily",'Repeat Detail'!$B$6:$B$1005,$A361))</x:f>
      </x:c>
      <x:c r="J361" s="20" t="str">
        <x:f>IF(A361="","",B361-C361)</x:f>
      </x:c>
    </x:row>
    <x:row r="362">
      <x:c r="A362" s="12" t="str">
        <x:f>IF(A361="","",IF(A361+1&gt;IF(AND(COUNTIF('Repeat Detail'!$A$6:$A$1005,"Quality")=21,COUNTIF('Repeat Detail'!$A$6:$A$1005,"Menu")=12,COUNTIF('Repeat Detail'!$A$6:$A$1005,"Daily")=SUMIFS('Repeat Detail'!$O$6:$O$1005,'Repeat Detail'!$A$6:$A$1005,"Quality",'Repeat Detail'!$H$6:$H$1005,"Date span")),SUMIFS('Repeat Detail'!$O$6:$O$1005,'Repeat Detail'!$A$6:$A$1005,"Quality",'Repeat Detail'!$H$6:$H$1005,"Last date"),NA()),"",A361+1))</x:f>
      </x:c>
      <x:c r="B362" s="20" t="str">
        <x:f>IF($A362="","",SUMIFS('Repeat Detail'!$I$6:$I$1005,'Repeat Detail'!$A$6:$A$1005,"Daily",'Repeat Detail'!$B$6:$B$1005,$A362))</x:f>
      </x:c>
      <x:c r="C362" s="20" t="str">
        <x:f>IF($A362="","",SUMIFS('Repeat Detail'!$J$6:$J$1005,'Repeat Detail'!$A$6:$A$1005,"Daily",'Repeat Detail'!$B$6:$B$1005,$A362))</x:f>
      </x:c>
      <x:c r="D362" s="20" t="str">
        <x:f>IF($A362="","",SUMIFS('Repeat Detail'!$K$6:$K$1005,'Repeat Detail'!$A$6:$A$1005,"Daily",'Repeat Detail'!$B$6:$B$1005,$A362))</x:f>
      </x:c>
      <x:c r="E362" s="20" t="str">
        <x:f>IF($A362="","",SUMIFS('Repeat Detail'!$L$6:$L$1005,'Repeat Detail'!$A$6:$A$1005,"Daily",'Repeat Detail'!$B$6:$B$1005,$A362))</x:f>
      </x:c>
      <x:c r="F362" s="22" t="str">
        <x:f>IF(A362="","",IF(D362=0,"n.a.",E362/D362))</x:f>
      </x:c>
      <x:c r="G362" s="20" t="str">
        <x:f>IF($A362="","",SUMIFS('Repeat Detail'!$M$6:$M$1005,'Repeat Detail'!$A$6:$A$1005,"Daily",'Repeat Detail'!$B$6:$B$1005,$A362))</x:f>
      </x:c>
      <x:c r="H362" s="22" t="str">
        <x:f>IF(A362="","",IF(C362=0,"n.a.",G362/C362))</x:f>
      </x:c>
      <x:c r="I362" s="20" t="str">
        <x:f>IF($A362="","",SUMIFS('Repeat Detail'!$N$6:$N$1005,'Repeat Detail'!$A$6:$A$1005,"Daily",'Repeat Detail'!$B$6:$B$1005,$A362))</x:f>
      </x:c>
      <x:c r="J362" s="20" t="str">
        <x:f>IF(A362="","",B362-C362)</x:f>
      </x:c>
    </x:row>
    <x:row r="363">
      <x:c r="A363" s="12" t="str">
        <x:f>IF(A362="","",IF(A362+1&gt;IF(AND(COUNTIF('Repeat Detail'!$A$6:$A$1005,"Quality")=21,COUNTIF('Repeat Detail'!$A$6:$A$1005,"Menu")=12,COUNTIF('Repeat Detail'!$A$6:$A$1005,"Daily")=SUMIFS('Repeat Detail'!$O$6:$O$1005,'Repeat Detail'!$A$6:$A$1005,"Quality",'Repeat Detail'!$H$6:$H$1005,"Date span")),SUMIFS('Repeat Detail'!$O$6:$O$1005,'Repeat Detail'!$A$6:$A$1005,"Quality",'Repeat Detail'!$H$6:$H$1005,"Last date"),NA()),"",A362+1))</x:f>
      </x:c>
      <x:c r="B363" s="20" t="str">
        <x:f>IF($A363="","",SUMIFS('Repeat Detail'!$I$6:$I$1005,'Repeat Detail'!$A$6:$A$1005,"Daily",'Repeat Detail'!$B$6:$B$1005,$A363))</x:f>
      </x:c>
      <x:c r="C363" s="20" t="str">
        <x:f>IF($A363="","",SUMIFS('Repeat Detail'!$J$6:$J$1005,'Repeat Detail'!$A$6:$A$1005,"Daily",'Repeat Detail'!$B$6:$B$1005,$A363))</x:f>
      </x:c>
      <x:c r="D363" s="20" t="str">
        <x:f>IF($A363="","",SUMIFS('Repeat Detail'!$K$6:$K$1005,'Repeat Detail'!$A$6:$A$1005,"Daily",'Repeat Detail'!$B$6:$B$1005,$A363))</x:f>
      </x:c>
      <x:c r="E363" s="20" t="str">
        <x:f>IF($A363="","",SUMIFS('Repeat Detail'!$L$6:$L$1005,'Repeat Detail'!$A$6:$A$1005,"Daily",'Repeat Detail'!$B$6:$B$1005,$A363))</x:f>
      </x:c>
      <x:c r="F363" s="22" t="str">
        <x:f>IF(A363="","",IF(D363=0,"n.a.",E363/D363))</x:f>
      </x:c>
      <x:c r="G363" s="20" t="str">
        <x:f>IF($A363="","",SUMIFS('Repeat Detail'!$M$6:$M$1005,'Repeat Detail'!$A$6:$A$1005,"Daily",'Repeat Detail'!$B$6:$B$1005,$A363))</x:f>
      </x:c>
      <x:c r="H363" s="22" t="str">
        <x:f>IF(A363="","",IF(C363=0,"n.a.",G363/C363))</x:f>
      </x:c>
      <x:c r="I363" s="20" t="str">
        <x:f>IF($A363="","",SUMIFS('Repeat Detail'!$N$6:$N$1005,'Repeat Detail'!$A$6:$A$1005,"Daily",'Repeat Detail'!$B$6:$B$1005,$A363))</x:f>
      </x:c>
      <x:c r="J363" s="20" t="str">
        <x:f>IF(A363="","",B363-C363)</x:f>
      </x:c>
    </x:row>
    <x:row r="364">
      <x:c r="A364" s="12" t="str">
        <x:f>IF(A363="","",IF(A363+1&gt;IF(AND(COUNTIF('Repeat Detail'!$A$6:$A$1005,"Quality")=21,COUNTIF('Repeat Detail'!$A$6:$A$1005,"Menu")=12,COUNTIF('Repeat Detail'!$A$6:$A$1005,"Daily")=SUMIFS('Repeat Detail'!$O$6:$O$1005,'Repeat Detail'!$A$6:$A$1005,"Quality",'Repeat Detail'!$H$6:$H$1005,"Date span")),SUMIFS('Repeat Detail'!$O$6:$O$1005,'Repeat Detail'!$A$6:$A$1005,"Quality",'Repeat Detail'!$H$6:$H$1005,"Last date"),NA()),"",A363+1))</x:f>
      </x:c>
      <x:c r="B364" s="20" t="str">
        <x:f>IF($A364="","",SUMIFS('Repeat Detail'!$I$6:$I$1005,'Repeat Detail'!$A$6:$A$1005,"Daily",'Repeat Detail'!$B$6:$B$1005,$A364))</x:f>
      </x:c>
      <x:c r="C364" s="20" t="str">
        <x:f>IF($A364="","",SUMIFS('Repeat Detail'!$J$6:$J$1005,'Repeat Detail'!$A$6:$A$1005,"Daily",'Repeat Detail'!$B$6:$B$1005,$A364))</x:f>
      </x:c>
      <x:c r="D364" s="20" t="str">
        <x:f>IF($A364="","",SUMIFS('Repeat Detail'!$K$6:$K$1005,'Repeat Detail'!$A$6:$A$1005,"Daily",'Repeat Detail'!$B$6:$B$1005,$A364))</x:f>
      </x:c>
      <x:c r="E364" s="20" t="str">
        <x:f>IF($A364="","",SUMIFS('Repeat Detail'!$L$6:$L$1005,'Repeat Detail'!$A$6:$A$1005,"Daily",'Repeat Detail'!$B$6:$B$1005,$A364))</x:f>
      </x:c>
      <x:c r="F364" s="22" t="str">
        <x:f>IF(A364="","",IF(D364=0,"n.a.",E364/D364))</x:f>
      </x:c>
      <x:c r="G364" s="20" t="str">
        <x:f>IF($A364="","",SUMIFS('Repeat Detail'!$M$6:$M$1005,'Repeat Detail'!$A$6:$A$1005,"Daily",'Repeat Detail'!$B$6:$B$1005,$A364))</x:f>
      </x:c>
      <x:c r="H364" s="22" t="str">
        <x:f>IF(A364="","",IF(C364=0,"n.a.",G364/C364))</x:f>
      </x:c>
      <x:c r="I364" s="20" t="str">
        <x:f>IF($A364="","",SUMIFS('Repeat Detail'!$N$6:$N$1005,'Repeat Detail'!$A$6:$A$1005,"Daily",'Repeat Detail'!$B$6:$B$1005,$A364))</x:f>
      </x:c>
      <x:c r="J364" s="20" t="str">
        <x:f>IF(A364="","",B364-C364)</x:f>
      </x:c>
    </x:row>
    <x:row r="365">
      <x:c r="A365" s="12" t="str">
        <x:f>IF(A364="","",IF(A364+1&gt;IF(AND(COUNTIF('Repeat Detail'!$A$6:$A$1005,"Quality")=21,COUNTIF('Repeat Detail'!$A$6:$A$1005,"Menu")=12,COUNTIF('Repeat Detail'!$A$6:$A$1005,"Daily")=SUMIFS('Repeat Detail'!$O$6:$O$1005,'Repeat Detail'!$A$6:$A$1005,"Quality",'Repeat Detail'!$H$6:$H$1005,"Date span")),SUMIFS('Repeat Detail'!$O$6:$O$1005,'Repeat Detail'!$A$6:$A$1005,"Quality",'Repeat Detail'!$H$6:$H$1005,"Last date"),NA()),"",A364+1))</x:f>
      </x:c>
      <x:c r="B365" s="20" t="str">
        <x:f>IF($A365="","",SUMIFS('Repeat Detail'!$I$6:$I$1005,'Repeat Detail'!$A$6:$A$1005,"Daily",'Repeat Detail'!$B$6:$B$1005,$A365))</x:f>
      </x:c>
      <x:c r="C365" s="20" t="str">
        <x:f>IF($A365="","",SUMIFS('Repeat Detail'!$J$6:$J$1005,'Repeat Detail'!$A$6:$A$1005,"Daily",'Repeat Detail'!$B$6:$B$1005,$A365))</x:f>
      </x:c>
      <x:c r="D365" s="20" t="str">
        <x:f>IF($A365="","",SUMIFS('Repeat Detail'!$K$6:$K$1005,'Repeat Detail'!$A$6:$A$1005,"Daily",'Repeat Detail'!$B$6:$B$1005,$A365))</x:f>
      </x:c>
      <x:c r="E365" s="20" t="str">
        <x:f>IF($A365="","",SUMIFS('Repeat Detail'!$L$6:$L$1005,'Repeat Detail'!$A$6:$A$1005,"Daily",'Repeat Detail'!$B$6:$B$1005,$A365))</x:f>
      </x:c>
      <x:c r="F365" s="22" t="str">
        <x:f>IF(A365="","",IF(D365=0,"n.a.",E365/D365))</x:f>
      </x:c>
      <x:c r="G365" s="20" t="str">
        <x:f>IF($A365="","",SUMIFS('Repeat Detail'!$M$6:$M$1005,'Repeat Detail'!$A$6:$A$1005,"Daily",'Repeat Detail'!$B$6:$B$1005,$A365))</x:f>
      </x:c>
      <x:c r="H365" s="22" t="str">
        <x:f>IF(A365="","",IF(C365=0,"n.a.",G365/C365))</x:f>
      </x:c>
      <x:c r="I365" s="20" t="str">
        <x:f>IF($A365="","",SUMIFS('Repeat Detail'!$N$6:$N$1005,'Repeat Detail'!$A$6:$A$1005,"Daily",'Repeat Detail'!$B$6:$B$1005,$A365))</x:f>
      </x:c>
      <x:c r="J365" s="20" t="str">
        <x:f>IF(A365="","",B365-C365)</x:f>
      </x:c>
    </x:row>
    <x:row r="366">
      <x:c r="A366" s="12" t="str">
        <x:f>IF(A365="","",IF(A365+1&gt;IF(AND(COUNTIF('Repeat Detail'!$A$6:$A$1005,"Quality")=21,COUNTIF('Repeat Detail'!$A$6:$A$1005,"Menu")=12,COUNTIF('Repeat Detail'!$A$6:$A$1005,"Daily")=SUMIFS('Repeat Detail'!$O$6:$O$1005,'Repeat Detail'!$A$6:$A$1005,"Quality",'Repeat Detail'!$H$6:$H$1005,"Date span")),SUMIFS('Repeat Detail'!$O$6:$O$1005,'Repeat Detail'!$A$6:$A$1005,"Quality",'Repeat Detail'!$H$6:$H$1005,"Last date"),NA()),"",A365+1))</x:f>
      </x:c>
      <x:c r="B366" s="20" t="str">
        <x:f>IF($A366="","",SUMIFS('Repeat Detail'!$I$6:$I$1005,'Repeat Detail'!$A$6:$A$1005,"Daily",'Repeat Detail'!$B$6:$B$1005,$A366))</x:f>
      </x:c>
      <x:c r="C366" s="20" t="str">
        <x:f>IF($A366="","",SUMIFS('Repeat Detail'!$J$6:$J$1005,'Repeat Detail'!$A$6:$A$1005,"Daily",'Repeat Detail'!$B$6:$B$1005,$A366))</x:f>
      </x:c>
      <x:c r="D366" s="20" t="str">
        <x:f>IF($A366="","",SUMIFS('Repeat Detail'!$K$6:$K$1005,'Repeat Detail'!$A$6:$A$1005,"Daily",'Repeat Detail'!$B$6:$B$1005,$A366))</x:f>
      </x:c>
      <x:c r="E366" s="20" t="str">
        <x:f>IF($A366="","",SUMIFS('Repeat Detail'!$L$6:$L$1005,'Repeat Detail'!$A$6:$A$1005,"Daily",'Repeat Detail'!$B$6:$B$1005,$A366))</x:f>
      </x:c>
      <x:c r="F366" s="22" t="str">
        <x:f>IF(A366="","",IF(D366=0,"n.a.",E366/D366))</x:f>
      </x:c>
      <x:c r="G366" s="20" t="str">
        <x:f>IF($A366="","",SUMIFS('Repeat Detail'!$M$6:$M$1005,'Repeat Detail'!$A$6:$A$1005,"Daily",'Repeat Detail'!$B$6:$B$1005,$A366))</x:f>
      </x:c>
      <x:c r="H366" s="22" t="str">
        <x:f>IF(A366="","",IF(C366=0,"n.a.",G366/C366))</x:f>
      </x:c>
      <x:c r="I366" s="20" t="str">
        <x:f>IF($A366="","",SUMIFS('Repeat Detail'!$N$6:$N$1005,'Repeat Detail'!$A$6:$A$1005,"Daily",'Repeat Detail'!$B$6:$B$1005,$A366))</x:f>
      </x:c>
      <x:c r="J366" s="20" t="str">
        <x:f>IF(A366="","",B366-C366)</x:f>
      </x:c>
    </x:row>
    <x:row r="367">
      <x:c r="A367" s="12" t="str">
        <x:f>IF(A366="","",IF(A366+1&gt;IF(AND(COUNTIF('Repeat Detail'!$A$6:$A$1005,"Quality")=21,COUNTIF('Repeat Detail'!$A$6:$A$1005,"Menu")=12,COUNTIF('Repeat Detail'!$A$6:$A$1005,"Daily")=SUMIFS('Repeat Detail'!$O$6:$O$1005,'Repeat Detail'!$A$6:$A$1005,"Quality",'Repeat Detail'!$H$6:$H$1005,"Date span")),SUMIFS('Repeat Detail'!$O$6:$O$1005,'Repeat Detail'!$A$6:$A$1005,"Quality",'Repeat Detail'!$H$6:$H$1005,"Last date"),NA()),"",A366+1))</x:f>
      </x:c>
      <x:c r="B367" s="20" t="str">
        <x:f>IF($A367="","",SUMIFS('Repeat Detail'!$I$6:$I$1005,'Repeat Detail'!$A$6:$A$1005,"Daily",'Repeat Detail'!$B$6:$B$1005,$A367))</x:f>
      </x:c>
      <x:c r="C367" s="20" t="str">
        <x:f>IF($A367="","",SUMIFS('Repeat Detail'!$J$6:$J$1005,'Repeat Detail'!$A$6:$A$1005,"Daily",'Repeat Detail'!$B$6:$B$1005,$A367))</x:f>
      </x:c>
      <x:c r="D367" s="20" t="str">
        <x:f>IF($A367="","",SUMIFS('Repeat Detail'!$K$6:$K$1005,'Repeat Detail'!$A$6:$A$1005,"Daily",'Repeat Detail'!$B$6:$B$1005,$A367))</x:f>
      </x:c>
      <x:c r="E367" s="20" t="str">
        <x:f>IF($A367="","",SUMIFS('Repeat Detail'!$L$6:$L$1005,'Repeat Detail'!$A$6:$A$1005,"Daily",'Repeat Detail'!$B$6:$B$1005,$A367))</x:f>
      </x:c>
      <x:c r="F367" s="22" t="str">
        <x:f>IF(A367="","",IF(D367=0,"n.a.",E367/D367))</x:f>
      </x:c>
      <x:c r="G367" s="20" t="str">
        <x:f>IF($A367="","",SUMIFS('Repeat Detail'!$M$6:$M$1005,'Repeat Detail'!$A$6:$A$1005,"Daily",'Repeat Detail'!$B$6:$B$1005,$A367))</x:f>
      </x:c>
      <x:c r="H367" s="22" t="str">
        <x:f>IF(A367="","",IF(C367=0,"n.a.",G367/C367))</x:f>
      </x:c>
      <x:c r="I367" s="20" t="str">
        <x:f>IF($A367="","",SUMIFS('Repeat Detail'!$N$6:$N$1005,'Repeat Detail'!$A$6:$A$1005,"Daily",'Repeat Detail'!$B$6:$B$1005,$A367))</x:f>
      </x:c>
      <x:c r="J367" s="20" t="str">
        <x:f>IF(A367="","",B367-C367)</x:f>
      </x:c>
    </x:row>
    <x:row r="368">
      <x:c r="A368" s="12" t="str">
        <x:f>IF(A367="","",IF(A367+1&gt;IF(AND(COUNTIF('Repeat Detail'!$A$6:$A$1005,"Quality")=21,COUNTIF('Repeat Detail'!$A$6:$A$1005,"Menu")=12,COUNTIF('Repeat Detail'!$A$6:$A$1005,"Daily")=SUMIFS('Repeat Detail'!$O$6:$O$1005,'Repeat Detail'!$A$6:$A$1005,"Quality",'Repeat Detail'!$H$6:$H$1005,"Date span")),SUMIFS('Repeat Detail'!$O$6:$O$1005,'Repeat Detail'!$A$6:$A$1005,"Quality",'Repeat Detail'!$H$6:$H$1005,"Last date"),NA()),"",A367+1))</x:f>
      </x:c>
      <x:c r="B368" s="20" t="str">
        <x:f>IF($A368="","",SUMIFS('Repeat Detail'!$I$6:$I$1005,'Repeat Detail'!$A$6:$A$1005,"Daily",'Repeat Detail'!$B$6:$B$1005,$A368))</x:f>
      </x:c>
      <x:c r="C368" s="20" t="str">
        <x:f>IF($A368="","",SUMIFS('Repeat Detail'!$J$6:$J$1005,'Repeat Detail'!$A$6:$A$1005,"Daily",'Repeat Detail'!$B$6:$B$1005,$A368))</x:f>
      </x:c>
      <x:c r="D368" s="20" t="str">
        <x:f>IF($A368="","",SUMIFS('Repeat Detail'!$K$6:$K$1005,'Repeat Detail'!$A$6:$A$1005,"Daily",'Repeat Detail'!$B$6:$B$1005,$A368))</x:f>
      </x:c>
      <x:c r="E368" s="20" t="str">
        <x:f>IF($A368="","",SUMIFS('Repeat Detail'!$L$6:$L$1005,'Repeat Detail'!$A$6:$A$1005,"Daily",'Repeat Detail'!$B$6:$B$1005,$A368))</x:f>
      </x:c>
      <x:c r="F368" s="22" t="str">
        <x:f>IF(A368="","",IF(D368=0,"n.a.",E368/D368))</x:f>
      </x:c>
      <x:c r="G368" s="20" t="str">
        <x:f>IF($A368="","",SUMIFS('Repeat Detail'!$M$6:$M$1005,'Repeat Detail'!$A$6:$A$1005,"Daily",'Repeat Detail'!$B$6:$B$1005,$A368))</x:f>
      </x:c>
      <x:c r="H368" s="22" t="str">
        <x:f>IF(A368="","",IF(C368=0,"n.a.",G368/C368))</x:f>
      </x:c>
      <x:c r="I368" s="20" t="str">
        <x:f>IF($A368="","",SUMIFS('Repeat Detail'!$N$6:$N$1005,'Repeat Detail'!$A$6:$A$1005,"Daily",'Repeat Detail'!$B$6:$B$1005,$A368))</x:f>
      </x:c>
      <x:c r="J368" s="20" t="str">
        <x:f>IF(A368="","",B368-C368)</x:f>
      </x:c>
    </x:row>
    <x:row r="369">
      <x:c r="A369" s="12" t="str">
        <x:f>IF(A368="","",IF(A368+1&gt;IF(AND(COUNTIF('Repeat Detail'!$A$6:$A$1005,"Quality")=21,COUNTIF('Repeat Detail'!$A$6:$A$1005,"Menu")=12,COUNTIF('Repeat Detail'!$A$6:$A$1005,"Daily")=SUMIFS('Repeat Detail'!$O$6:$O$1005,'Repeat Detail'!$A$6:$A$1005,"Quality",'Repeat Detail'!$H$6:$H$1005,"Date span")),SUMIFS('Repeat Detail'!$O$6:$O$1005,'Repeat Detail'!$A$6:$A$1005,"Quality",'Repeat Detail'!$H$6:$H$1005,"Last date"),NA()),"",A368+1))</x:f>
      </x:c>
      <x:c r="B369" s="20" t="str">
        <x:f>IF($A369="","",SUMIFS('Repeat Detail'!$I$6:$I$1005,'Repeat Detail'!$A$6:$A$1005,"Daily",'Repeat Detail'!$B$6:$B$1005,$A369))</x:f>
      </x:c>
      <x:c r="C369" s="20" t="str">
        <x:f>IF($A369="","",SUMIFS('Repeat Detail'!$J$6:$J$1005,'Repeat Detail'!$A$6:$A$1005,"Daily",'Repeat Detail'!$B$6:$B$1005,$A369))</x:f>
      </x:c>
      <x:c r="D369" s="20" t="str">
        <x:f>IF($A369="","",SUMIFS('Repeat Detail'!$K$6:$K$1005,'Repeat Detail'!$A$6:$A$1005,"Daily",'Repeat Detail'!$B$6:$B$1005,$A369))</x:f>
      </x:c>
      <x:c r="E369" s="20" t="str">
        <x:f>IF($A369="","",SUMIFS('Repeat Detail'!$L$6:$L$1005,'Repeat Detail'!$A$6:$A$1005,"Daily",'Repeat Detail'!$B$6:$B$1005,$A369))</x:f>
      </x:c>
      <x:c r="F369" s="22" t="str">
        <x:f>IF(A369="","",IF(D369=0,"n.a.",E369/D369))</x:f>
      </x:c>
      <x:c r="G369" s="20" t="str">
        <x:f>IF($A369="","",SUMIFS('Repeat Detail'!$M$6:$M$1005,'Repeat Detail'!$A$6:$A$1005,"Daily",'Repeat Detail'!$B$6:$B$1005,$A369))</x:f>
      </x:c>
      <x:c r="H369" s="22" t="str">
        <x:f>IF(A369="","",IF(C369=0,"n.a.",G369/C369))</x:f>
      </x:c>
      <x:c r="I369" s="20" t="str">
        <x:f>IF($A369="","",SUMIFS('Repeat Detail'!$N$6:$N$1005,'Repeat Detail'!$A$6:$A$1005,"Daily",'Repeat Detail'!$B$6:$B$1005,$A369))</x:f>
      </x:c>
      <x:c r="J369" s="20" t="str">
        <x:f>IF(A369="","",B369-C369)</x:f>
      </x:c>
    </x:row>
    <x:row r="370">
      <x:c r="A370" s="12" t="str">
        <x:f>IF(A369="","",IF(A369+1&gt;IF(AND(COUNTIF('Repeat Detail'!$A$6:$A$1005,"Quality")=21,COUNTIF('Repeat Detail'!$A$6:$A$1005,"Menu")=12,COUNTIF('Repeat Detail'!$A$6:$A$1005,"Daily")=SUMIFS('Repeat Detail'!$O$6:$O$1005,'Repeat Detail'!$A$6:$A$1005,"Quality",'Repeat Detail'!$H$6:$H$1005,"Date span")),SUMIFS('Repeat Detail'!$O$6:$O$1005,'Repeat Detail'!$A$6:$A$1005,"Quality",'Repeat Detail'!$H$6:$H$1005,"Last date"),NA()),"",A369+1))</x:f>
      </x:c>
      <x:c r="B370" s="20" t="str">
        <x:f>IF($A370="","",SUMIFS('Repeat Detail'!$I$6:$I$1005,'Repeat Detail'!$A$6:$A$1005,"Daily",'Repeat Detail'!$B$6:$B$1005,$A370))</x:f>
      </x:c>
      <x:c r="C370" s="20" t="str">
        <x:f>IF($A370="","",SUMIFS('Repeat Detail'!$J$6:$J$1005,'Repeat Detail'!$A$6:$A$1005,"Daily",'Repeat Detail'!$B$6:$B$1005,$A370))</x:f>
      </x:c>
      <x:c r="D370" s="20" t="str">
        <x:f>IF($A370="","",SUMIFS('Repeat Detail'!$K$6:$K$1005,'Repeat Detail'!$A$6:$A$1005,"Daily",'Repeat Detail'!$B$6:$B$1005,$A370))</x:f>
      </x:c>
      <x:c r="E370" s="20" t="str">
        <x:f>IF($A370="","",SUMIFS('Repeat Detail'!$L$6:$L$1005,'Repeat Detail'!$A$6:$A$1005,"Daily",'Repeat Detail'!$B$6:$B$1005,$A370))</x:f>
      </x:c>
      <x:c r="F370" s="22" t="str">
        <x:f>IF(A370="","",IF(D370=0,"n.a.",E370/D370))</x:f>
      </x:c>
      <x:c r="G370" s="20" t="str">
        <x:f>IF($A370="","",SUMIFS('Repeat Detail'!$M$6:$M$1005,'Repeat Detail'!$A$6:$A$1005,"Daily",'Repeat Detail'!$B$6:$B$1005,$A370))</x:f>
      </x:c>
      <x:c r="H370" s="22" t="str">
        <x:f>IF(A370="","",IF(C370=0,"n.a.",G370/C370))</x:f>
      </x:c>
      <x:c r="I370" s="20" t="str">
        <x:f>IF($A370="","",SUMIFS('Repeat Detail'!$N$6:$N$1005,'Repeat Detail'!$A$6:$A$1005,"Daily",'Repeat Detail'!$B$6:$B$1005,$A370))</x:f>
      </x:c>
      <x:c r="J370" s="20" t="str">
        <x:f>IF(A370="","",B370-C370)</x:f>
      </x:c>
    </x:row>
    <x:row r="371">
      <x:c r="A371" s="12" t="str">
        <x:f>IF(A370="","",IF(A370+1&gt;IF(AND(COUNTIF('Repeat Detail'!$A$6:$A$1005,"Quality")=21,COUNTIF('Repeat Detail'!$A$6:$A$1005,"Menu")=12,COUNTIF('Repeat Detail'!$A$6:$A$1005,"Daily")=SUMIFS('Repeat Detail'!$O$6:$O$1005,'Repeat Detail'!$A$6:$A$1005,"Quality",'Repeat Detail'!$H$6:$H$1005,"Date span")),SUMIFS('Repeat Detail'!$O$6:$O$1005,'Repeat Detail'!$A$6:$A$1005,"Quality",'Repeat Detail'!$H$6:$H$1005,"Last date"),NA()),"",A370+1))</x:f>
      </x:c>
      <x:c r="B371" s="20" t="str">
        <x:f>IF($A371="","",SUMIFS('Repeat Detail'!$I$6:$I$1005,'Repeat Detail'!$A$6:$A$1005,"Daily",'Repeat Detail'!$B$6:$B$1005,$A371))</x:f>
      </x:c>
      <x:c r="C371" s="20" t="str">
        <x:f>IF($A371="","",SUMIFS('Repeat Detail'!$J$6:$J$1005,'Repeat Detail'!$A$6:$A$1005,"Daily",'Repeat Detail'!$B$6:$B$1005,$A371))</x:f>
      </x:c>
      <x:c r="D371" s="20" t="str">
        <x:f>IF($A371="","",SUMIFS('Repeat Detail'!$K$6:$K$1005,'Repeat Detail'!$A$6:$A$1005,"Daily",'Repeat Detail'!$B$6:$B$1005,$A371))</x:f>
      </x:c>
      <x:c r="E371" s="20" t="str">
        <x:f>IF($A371="","",SUMIFS('Repeat Detail'!$L$6:$L$1005,'Repeat Detail'!$A$6:$A$1005,"Daily",'Repeat Detail'!$B$6:$B$1005,$A371))</x:f>
      </x:c>
      <x:c r="F371" s="22" t="str">
        <x:f>IF(A371="","",IF(D371=0,"n.a.",E371/D371))</x:f>
      </x:c>
      <x:c r="G371" s="20" t="str">
        <x:f>IF($A371="","",SUMIFS('Repeat Detail'!$M$6:$M$1005,'Repeat Detail'!$A$6:$A$1005,"Daily",'Repeat Detail'!$B$6:$B$1005,$A371))</x:f>
      </x:c>
      <x:c r="H371" s="22" t="str">
        <x:f>IF(A371="","",IF(C371=0,"n.a.",G371/C371))</x:f>
      </x:c>
      <x:c r="I371" s="20" t="str">
        <x:f>IF($A371="","",SUMIFS('Repeat Detail'!$N$6:$N$1005,'Repeat Detail'!$A$6:$A$1005,"Daily",'Repeat Detail'!$B$6:$B$1005,$A371))</x:f>
      </x:c>
      <x:c r="J371" s="20" t="str">
        <x:f>IF(A371="","",B371-C371)</x:f>
      </x:c>
    </x:row>
    <x:row r="372">
      <x:c r="A372" s="12" t="str">
        <x:f>IF(A371="","",IF(A371+1&gt;IF(AND(COUNTIF('Repeat Detail'!$A$6:$A$1005,"Quality")=21,COUNTIF('Repeat Detail'!$A$6:$A$1005,"Menu")=12,COUNTIF('Repeat Detail'!$A$6:$A$1005,"Daily")=SUMIFS('Repeat Detail'!$O$6:$O$1005,'Repeat Detail'!$A$6:$A$1005,"Quality",'Repeat Detail'!$H$6:$H$1005,"Date span")),SUMIFS('Repeat Detail'!$O$6:$O$1005,'Repeat Detail'!$A$6:$A$1005,"Quality",'Repeat Detail'!$H$6:$H$1005,"Last date"),NA()),"",A371+1))</x:f>
      </x:c>
      <x:c r="B372" s="20" t="str">
        <x:f>IF($A372="","",SUMIFS('Repeat Detail'!$I$6:$I$1005,'Repeat Detail'!$A$6:$A$1005,"Daily",'Repeat Detail'!$B$6:$B$1005,$A372))</x:f>
      </x:c>
      <x:c r="C372" s="20" t="str">
        <x:f>IF($A372="","",SUMIFS('Repeat Detail'!$J$6:$J$1005,'Repeat Detail'!$A$6:$A$1005,"Daily",'Repeat Detail'!$B$6:$B$1005,$A372))</x:f>
      </x:c>
      <x:c r="D372" s="20" t="str">
        <x:f>IF($A372="","",SUMIFS('Repeat Detail'!$K$6:$K$1005,'Repeat Detail'!$A$6:$A$1005,"Daily",'Repeat Detail'!$B$6:$B$1005,$A372))</x:f>
      </x:c>
      <x:c r="E372" s="20" t="str">
        <x:f>IF($A372="","",SUMIFS('Repeat Detail'!$L$6:$L$1005,'Repeat Detail'!$A$6:$A$1005,"Daily",'Repeat Detail'!$B$6:$B$1005,$A372))</x:f>
      </x:c>
      <x:c r="F372" s="22" t="str">
        <x:f>IF(A372="","",IF(D372=0,"n.a.",E372/D372))</x:f>
      </x:c>
      <x:c r="G372" s="20" t="str">
        <x:f>IF($A372="","",SUMIFS('Repeat Detail'!$M$6:$M$1005,'Repeat Detail'!$A$6:$A$1005,"Daily",'Repeat Detail'!$B$6:$B$1005,$A372))</x:f>
      </x:c>
      <x:c r="H372" s="22" t="str">
        <x:f>IF(A372="","",IF(C372=0,"n.a.",G372/C372))</x:f>
      </x:c>
      <x:c r="I372" s="20" t="str">
        <x:f>IF($A372="","",SUMIFS('Repeat Detail'!$N$6:$N$1005,'Repeat Detail'!$A$6:$A$1005,"Daily",'Repeat Detail'!$B$6:$B$1005,$A372))</x:f>
      </x:c>
      <x:c r="J372" s="20" t="str">
        <x:f>IF(A372="","",B372-C372)</x:f>
      </x:c>
    </x:row>
  </x:sheetData>
  <x:conditionalFormatting sqref="F7:F372">
    <x:cfRule type="colorScale" priority="1">
      <x:colorScale>
        <x:cfvo type="min"/>
        <x:cfvo type="percentile" val="50"/>
        <x:cfvo type="max"/>
        <x:color rgb="FFF1F5F8"/>
        <x:color rgb="FFD3E0EA"/>
        <x:color rgb="FFAAC3D7"/>
      </x:colorScale>
    </x:cfRule>
  </x:conditionalFormatting>
  <x:pageMargins left="0.7" right="0.7" top="0.75" bottom="0.75" header="0.3" footer="0.3"/>
</x:worksheet>
</file>

<file path=xl/worksheets/sheet3.xml><?xml version="1.0" encoding="utf-8"?>
<x:worksheet xmlns:x="http://schemas.openxmlformats.org/spreadsheetml/2006/main">
  <x:sheetPr>
    <x:tabColor rgb="FF233B53"/>
  </x:sheetPr>
  <x:sheetViews>
    <x:sheetView showGridLines="0" workbookViewId="0">
      <x:pane ySplit="6" topLeftCell="A7" activePane="bottomLeft" state="frozen"/>
    </x:sheetView>
  </x:sheetViews>
  <x:sheetFormatPr defaultRowHeight="15"/>
  <x:cols>
    <x:col min="1" max="1" width="31" hidden="0" customWidth="1"/>
    <x:col min="2" max="2" width="19" hidden="0" customWidth="1"/>
    <x:col min="3" max="3" width="19" hidden="0" customWidth="1"/>
    <x:col min="4" max="4" width="19" hidden="0" customWidth="1"/>
    <x:col min="5" max="5" width="19" hidden="0" customWidth="1"/>
    <x:col min="6" max="6" width="19" hidden="0" customWidth="1"/>
    <x:col min="7" max="7" width="12" hidden="0" customWidth="1"/>
    <x:col min="8" max="8" width="4" hidden="0" customWidth="1"/>
    <x:col min="9" max="9" width="34" hidden="0" customWidth="1"/>
    <x:col min="10" max="10" width="18" hidden="0" customWidth="1"/>
    <x:col min="11" max="11" width="18" hidden="0" customWidth="1"/>
    <x:col min="12" max="12" width="18" hidden="0" customWidth="1"/>
    <x:col min="13" max="13" width="18" hidden="0" customWidth="1"/>
  </x:cols>
  <x:sheetData>
    <x:row r="1" ht="22" customHeight="1">
      <x:c r="A1" s="7"/>
      <x:c r="B1" s="7"/>
      <x:c r="C1" s="7"/>
      <x:c r="D1" s="7"/>
      <x:c r="E1" s="7"/>
      <x:c r="F1" s="7"/>
      <x:c r="G1" s="7"/>
      <x:c r="H1" s="7"/>
      <x:c r="I1" s="7"/>
      <x:c r="J1" s="7"/>
      <x:c r="K1" s="7"/>
      <x:c r="L1" s="7"/>
      <x:c r="M1" s="7"/>
      <x:c r="N1" s="7"/>
    </x:row>
    <x:row r="2" ht="22" customHeight="1">
      <x:c r="A2" s="8" t="str">
        <x:v>Call topics and IVR menus</x:v>
      </x:c>
      <x:c r="B2" s="7"/>
      <x:c r="C2" s="7"/>
      <x:c r="D2" s="7"/>
      <x:c r="E2" s="7"/>
      <x:c r="F2" s="7"/>
      <x:c r="G2" s="7"/>
      <x:c r="H2" s="7"/>
      <x:c r="I2" s="7"/>
      <x:c r="J2" s="7"/>
      <x:c r="K2" s="7"/>
      <x:c r="L2" s="7"/>
      <x:c r="M2" s="7"/>
      <x:c r="N2" s="7"/>
    </x:row>
    <x:row r="3" ht="22" customHeight="1">
      <x:c r="A3" s="9"/>
      <x:c r="B3" s="9"/>
      <x:c r="C3" s="9"/>
      <x:c r="D3" s="9"/>
      <x:c r="E3" s="9"/>
      <x:c r="F3" s="9"/>
      <x:c r="G3" s="9"/>
      <x:c r="H3" s="9"/>
      <x:c r="I3" s="9"/>
      <x:c r="J3" s="9"/>
      <x:c r="K3" s="9"/>
      <x:c r="L3" s="9"/>
      <x:c r="M3" s="9"/>
      <x:c r="N3" s="9"/>
    </x:row>
    <x:row r="4" ht="22" customHeight="1">
      <x:c r="A4" s="6" t="str">
        <x:v>Topics use utterances only and may overlap. Topic percentages use calls with utterances; menu percentages use all eligible calls.</x:v>
      </x:c>
      <x:c r="B4" s="7"/>
      <x:c r="C4" s="7"/>
      <x:c r="D4" s="7"/>
      <x:c r="E4" s="7"/>
      <x:c r="F4" s="7"/>
      <x:c r="G4" s="7"/>
      <x:c r="H4" s="7"/>
      <x:c r="I4" s="7"/>
      <x:c r="J4" s="7"/>
      <x:c r="K4" s="7"/>
      <x:c r="L4" s="7"/>
      <x:c r="M4" s="7"/>
      <x:c r="N4" s="7"/>
    </x:row>
    <x:row r="5" ht="22" customHeight="1">
      <x:c r="A5" s="7"/>
      <x:c r="B5" s="7"/>
      <x:c r="C5" s="7"/>
      <x:c r="D5" s="7"/>
      <x:c r="E5" s="7"/>
      <x:c r="F5" s="7"/>
      <x:c r="G5" s="7"/>
      <x:c r="H5" s="7"/>
      <x:c r="I5" s="7"/>
      <x:c r="J5" s="7"/>
      <x:c r="K5" s="7"/>
      <x:c r="L5" s="7"/>
      <x:c r="M5" s="7"/>
      <x:c r="N5" s="7"/>
    </x:row>
    <x:row r="6" ht="34" customHeight="1">
      <x:c r="A6" s="4" t="str">
        <x:v>Utterance topic</x:v>
      </x:c>
      <x:c r="B6" s="4" t="str">
        <x:v>All calls matching</x:v>
      </x:c>
      <x:c r="C6" s="4" t="str">
        <x:v>% with utterances</x:v>
      </x:c>
      <x:c r="D6" s="4" t="str">
        <x:v>Additional calls matching</x:v>
      </x:c>
      <x:c r="E6" s="4" t="str">
        <x:v>% repeat utterances</x:v>
      </x:c>
      <x:c r="F6" s="4" t="str">
        <x:v>% of all additional calls</x:v>
      </x:c>
      <x:c r="G6" s="4" t="str">
        <x:v>Result row</x:v>
      </x:c>
      <x:c r="H6" s="7"/>
      <x:c r="I6" s="4" t="str">
        <x:v>Recorded IVR menu</x:v>
      </x:c>
      <x:c r="J6" s="4" t="str">
        <x:v>All calls</x:v>
      </x:c>
      <x:c r="K6" s="4" t="str">
        <x:v>% all calls</x:v>
      </x:c>
      <x:c r="L6" s="4" t="str">
        <x:v>Additional calls</x:v>
      </x:c>
      <x:c r="M6" s="4" t="str">
        <x:v>% additional calls</x:v>
      </x:c>
      <x:c r="N6" s="7"/>
    </x:row>
    <x:row r="7" ht="22" customHeight="1">
      <x:c r="A7" s="7" t="str">
        <x:f>IF(G7="","",INDEX('Repeat Detail'!$H$6:$H$1005,$G7))</x:f>
        <x:v>Payment</x:v>
      </x:c>
      <x:c r="B7" s="19" t="n">
        <x:f>IF(G7="","",INDEX('Repeat Detail'!$O$6:$O$1005,$G7))</x:f>
        <x:v>17300</x:v>
      </x:c>
      <x:c r="C7" s="21" t="n">
        <x:f>IF(G7="","",IF(INDEX('Repeat Detail'!$P$6:$P$1005,$G7)=0,"n.a.",B7/INDEX('Repeat Detail'!$P$6:$P$1005,$G7)))</x:f>
        <x:v>0.24711461547251742</x:v>
      </x:c>
      <x:c r="D7" s="19" t="n">
        <x:f>IF(G7="","",INDEX('Repeat Detail'!$Q$6:$Q$1005,$G7))</x:f>
        <x:v>3718</x:v>
      </x:c>
      <x:c r="E7" s="21" t="n">
        <x:f>IF(G7="","",IF(INDEX('Repeat Detail'!$R$6:$R$1005,$G7)=0,"n.a.",D7/INDEX('Repeat Detail'!$R$6:$R$1005,$G7)))</x:f>
        <x:v>0.2323024054982818</x:v>
      </x:c>
      <x:c r="F7" s="21" t="n">
        <x:f>IF(G7="","",IF(IF(AND(COUNTIF('Repeat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0.07799127370364155</x:v>
      </x:c>
      <x:c r="G7" s="7" t="n">
        <x:f>IF(1&gt;COUNTIF('Repeat Detail'!$A$6:$A$1005,"Topic"),"",MATCH("Topic",'Repeat Detail'!$A$6:$A$1005,0)+0)</x:f>
        <x:v>61</x:v>
      </x:c>
      <x:c r="H7" s="7"/>
      <x:c r="I7" s="7" t="str">
        <x:v>Insurance.Escrow.Tax Menu</x:v>
      </x:c>
      <x:c r="J7" s="19" t="n">
        <x:f>SUMIFS('Repeat Detail'!$O$6:$O$1005,'Repeat Detail'!$A$6:$A$1005,"Menu",'Repeat Detail'!$H$6:$H$1005,I7)</x:f>
        <x:v>29113</x:v>
      </x:c>
      <x:c r="K7"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dates"),NA())=0,"n.a.",J7/IF(AND(COUNTIF('Repeat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0.11043673207721809</x:v>
      </x:c>
      <x:c r="L7" s="19" t="n">
        <x:f>SUMIFS('Repeat Detail'!$Q$6:$Q$1005,'Repeat Detail'!$A$6:$A$1005,"Menu",'Repeat Detail'!$H$6:$H$1005,I7)</x:f>
        <x:v>6317</x:v>
      </x:c>
      <x:c r="M7"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0.13250964927001174</x:v>
      </x:c>
      <x:c r="N7" s="7"/>
    </x:row>
    <x:row r="8" ht="22" customHeight="1">
      <x:c r="A8" s="7" t="str">
        <x:f>IF(G8="","",INDEX('Repeat Detail'!$H$6:$H$1005,$G8))</x:f>
        <x:v>Escrow</x:v>
      </x:c>
      <x:c r="B8" s="19" t="n">
        <x:f>IF(G8="","",INDEX('Repeat Detail'!$O$6:$O$1005,$G8))</x:f>
        <x:v>9487</x:v>
      </x:c>
      <x:c r="C8" s="21" t="n">
        <x:f>IF(G8="","",IF(INDEX('Repeat Detail'!$P$6:$P$1005,$G8)=0,"n.a.",B8/INDEX('Repeat Detail'!$P$6:$P$1005,$G8)))</x:f>
        <x:v>0.1355130842189464</x:v>
      </x:c>
      <x:c r="D8" s="19" t="n">
        <x:f>IF(G8="","",INDEX('Repeat Detail'!$Q$6:$Q$1005,$G8))</x:f>
        <x:v>2089</x:v>
      </x:c>
      <x:c r="E8" s="21" t="n">
        <x:f>IF(G8="","",IF(INDEX('Repeat Detail'!$R$6:$R$1005,$G8)=0,"n.a.",D8/INDEX('Repeat Detail'!$R$6:$R$1005,$G8)))</x:f>
        <x:v>0.13052171196501094</x:v>
      </x:c>
      <x:c r="F8" s="21" t="n">
        <x:f>IF(G8="","",IF(IF(AND(COUNTIF('Repeat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0.04382027185769424</x:v>
      </x:c>
      <x:c r="G8" s="7" t="n">
        <x:f>IF(2&gt;COUNTIF('Repeat Detail'!$A$6:$A$1005,"Topic"),"",MATCH("Topic",'Repeat Detail'!$A$6:$A$1005,0)+1)</x:f>
        <x:v>62</x:v>
      </x:c>
      <x:c r="H8" s="7"/>
      <x:c r="I8" s="7" t="str">
        <x:v>Payment IVR</x:v>
      </x:c>
      <x:c r="J8" s="19" t="n">
        <x:f>SUMIFS('Repeat Detail'!$O$6:$O$1005,'Repeat Detail'!$A$6:$A$1005,"Menu",'Repeat Detail'!$H$6:$H$1005,I8)</x:f>
        <x:v>24302</x:v>
      </x:c>
      <x:c r="K8"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dates"),NA())=0,"n.a.",J8/IF(AND(COUNTIF('Repeat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0.09218677095938425</x:v>
      </x:c>
      <x:c r="L8" s="19" t="n">
        <x:f>SUMIFS('Repeat Detail'!$Q$6:$Q$1005,'Repeat Detail'!$A$6:$A$1005,"Menu",'Repeat Detail'!$H$6:$H$1005,I8)</x:f>
        <x:v>3474</x:v>
      </x:c>
      <x:c r="M8"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0.07287296526262796</x:v>
      </x:c>
      <x:c r="N8" s="7"/>
    </x:row>
    <x:row r="9" ht="22" customHeight="1">
      <x:c r="A9" s="7" t="str">
        <x:f>IF(G9="","",INDEX('Repeat Detail'!$H$6:$H$1005,$G9))</x:f>
        <x:v>Insurance / claims</x:v>
      </x:c>
      <x:c r="B9" s="19" t="n">
        <x:f>IF(G9="","",INDEX('Repeat Detail'!$O$6:$O$1005,$G9))</x:f>
        <x:v>5701</x:v>
      </x:c>
      <x:c r="C9" s="21" t="n">
        <x:f>IF(G9="","",IF(INDEX('Repeat Detail'!$P$6:$P$1005,$G9)=0,"n.a.",B9/INDEX('Repeat Detail'!$P$6:$P$1005,$G9)))</x:f>
        <x:v>0.08143355045137698</x:v>
      </x:c>
      <x:c r="D9" s="19" t="n">
        <x:f>IF(G9="","",INDEX('Repeat Detail'!$Q$6:$Q$1005,$G9))</x:f>
        <x:v>1467</x:v>
      </x:c>
      <x:c r="E9" s="21" t="n">
        <x:f>IF(G9="","",IF(INDEX('Repeat Detail'!$R$6:$R$1005,$G9)=0,"n.a.",D9/INDEX('Repeat Detail'!$R$6:$R$1005,$G9)))</x:f>
        <x:v>0.09165885660731021</x:v>
      </x:c>
      <x:c r="F9" s="21" t="n">
        <x:f>IF(G9="","",IF(IF(AND(COUNTIF('Repeat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0.0307727806678973</x:v>
      </x:c>
      <x:c r="G9" s="7" t="n">
        <x:f>IF(3&gt;COUNTIF('Repeat Detail'!$A$6:$A$1005,"Topic"),"",MATCH("Topic",'Repeat Detail'!$A$6:$A$1005,0)+2)</x:f>
        <x:v>63</x:v>
      </x:c>
      <x:c r="H9" s="7"/>
      <x:c r="I9" s="7" t="str">
        <x:v>Payoff</x:v>
      </x:c>
      <x:c r="J9" s="19" t="n">
        <x:f>SUMIFS('Repeat Detail'!$O$6:$O$1005,'Repeat Detail'!$A$6:$A$1005,"Menu",'Repeat Detail'!$H$6:$H$1005,I9)</x:f>
        <x:v>8306</x:v>
      </x:c>
      <x:c r="K9"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dates"),NA())=0,"n.a.",J9/IF(AND(COUNTIF('Repeat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0.03150783143727453</x:v>
      </x:c>
      <x:c r="L9" s="19" t="n">
        <x:f>SUMIFS('Repeat Detail'!$Q$6:$Q$1005,'Repeat Detail'!$A$6:$A$1005,"Menu",'Repeat Detail'!$H$6:$H$1005,I9)</x:f>
        <x:v>1931</x:v>
      </x:c>
      <x:c r="M9"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0.040505957375398555</x:v>
      </x:c>
      <x:c r="N9" s="7"/>
    </x:row>
    <x:row r="10" ht="22" customHeight="1">
      <x:c r="A10" s="7" t="str">
        <x:f>IF(G10="","",INDEX('Repeat Detail'!$H$6:$H$1005,$G10))</x:f>
        <x:v>Website / account access</x:v>
      </x:c>
      <x:c r="B10" s="19" t="n">
        <x:f>IF(G10="","",INDEX('Repeat Detail'!$O$6:$O$1005,$G10))</x:f>
        <x:v>1628</x:v>
      </x:c>
      <x:c r="C10" s="21" t="n">
        <x:f>IF(G10="","",IF(INDEX('Repeat Detail'!$P$6:$P$1005,$G10)=0,"n.a.",B10/INDEX('Repeat Detail'!$P$6:$P$1005,$G10)))</x:f>
        <x:v>0.023254485201691235</x:v>
      </x:c>
      <x:c r="D10" s="19" t="n">
        <x:f>IF(G10="","",INDEX('Repeat Detail'!$Q$6:$Q$1005,$G10))</x:f>
        <x:v>361</x:v>
      </x:c>
      <x:c r="E10" s="21" t="n">
        <x:f>IF(G10="","",IF(INDEX('Repeat Detail'!$R$6:$R$1005,$G10)=0,"n.a.",D10/INDEX('Repeat Detail'!$R$6:$R$1005,$G10)))</x:f>
        <x:v>0.022555451421430804</x:v>
      </x:c>
      <x:c r="F10" s="21" t="n">
        <x:f>IF(G10="","",IF(IF(AND(COUNTIF('Repeat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0.007572579291827488</x:v>
      </x:c>
      <x:c r="G10" s="7" t="n">
        <x:f>IF(4&gt;COUNTIF('Repeat Detail'!$A$6:$A$1005,"Topic"),"",MATCH("Topic",'Repeat Detail'!$A$6:$A$1005,0)+3)</x:f>
        <x:v>64</x:v>
      </x:c>
      <x:c r="H10" s="7"/>
      <x:c r="I10" s="7" t="str">
        <x:v>Loan Information</x:v>
      </x:c>
      <x:c r="J10" s="19" t="n">
        <x:f>SUMIFS('Repeat Detail'!$O$6:$O$1005,'Repeat Detail'!$A$6:$A$1005,"Menu",'Repeat Detail'!$H$6:$H$1005,I10)</x:f>
        <x:v>5647</x:v>
      </x:c>
      <x:c r="K10"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dates"),NA())=0,"n.a.",J10/IF(AND(COUNTIF('Repeat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0.02142122852471578</x:v>
      </x:c>
      <x:c r="L10" s="19" t="n">
        <x:f>SUMIFS('Repeat Detail'!$Q$6:$Q$1005,'Repeat Detail'!$A$6:$A$1005,"Menu",'Repeat Detail'!$H$6:$H$1005,I10)</x:f>
        <x:v>1126</x:v>
      </x:c>
      <x:c r="M10"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calls"),NA())=0,"n.a.",L10/IF(AND(COUNTIF('Repeat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0.023619734854841416</x:v>
      </x:c>
      <x:c r="N10" s="7"/>
    </x:row>
    <x:row r="11" ht="22" customHeight="1">
      <x:c r="A11" s="7" t="str">
        <x:f>IF(G11="","",INDEX('Repeat Detail'!$H$6:$H$1005,$G11))</x:f>
        <x:v>Documents / statements</x:v>
      </x:c>
      <x:c r="B11" s="19" t="n">
        <x:f>IF(G11="","",INDEX('Repeat Detail'!$O$6:$O$1005,$G11))</x:f>
        <x:v>1510</x:v>
      </x:c>
      <x:c r="C11" s="21" t="n">
        <x:f>IF(G11="","",IF(INDEX('Repeat Detail'!$P$6:$P$1005,$G11)=0,"n.a.",B11/INDEX('Repeat Detail'!$P$6:$P$1005,$G11)))</x:f>
        <x:v>0.021568963547023198</x:v>
      </x:c>
      <x:c r="D11" s="19" t="n">
        <x:f>IF(G11="","",INDEX('Repeat Detail'!$Q$6:$Q$1005,$G11))</x:f>
        <x:v>329</x:v>
      </x:c>
      <x:c r="E11" s="21" t="n">
        <x:f>IF(G11="","",IF(INDEX('Repeat Detail'!$R$6:$R$1005,$G11)=0,"n.a.",D11/INDEX('Repeat Detail'!$R$6:$R$1005,$G11)))</x:f>
        <x:v>0.020556076226179318</x:v>
      </x:c>
      <x:c r="F11" s="21" t="n">
        <x:f>IF(G11="","",IF(IF(AND(COUNTIF('Repeat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0.006901325725792919</x:v>
      </x:c>
      <x:c r="G11" s="7" t="n">
        <x:f>IF(5&gt;COUNTIF('Repeat Detail'!$A$6:$A$1005,"Topic"),"",MATCH("Topic",'Repeat Detail'!$A$6:$A$1005,0)+4)</x:f>
        <x:v>65</x:v>
      </x:c>
      <x:c r="H11" s="7"/>
      <x:c r="I11" s="7" t="str">
        <x:v>Servicing Digital Menu</x:v>
      </x:c>
      <x:c r="J11" s="19" t="n">
        <x:f>SUMIFS('Repeat Detail'!$O$6:$O$1005,'Repeat Detail'!$A$6:$A$1005,"Menu",'Repeat Detail'!$H$6:$H$1005,I11)</x:f>
        <x:v>1381</x:v>
      </x:c>
      <x:c r="K11"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dates"),NA())=0,"n.a.",J11/IF(AND(COUNTIF('Repeat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0.005238660632660261</x:v>
      </x:c>
      <x:c r="L11" s="19" t="n">
        <x:f>SUMIFS('Repeat Detail'!$Q$6:$Q$1005,'Repeat Detail'!$A$6:$A$1005,"Menu",'Repeat Detail'!$H$6:$H$1005,I11)</x:f>
        <x:v>324</x:v>
      </x:c>
      <x:c r="M11"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calls"),NA())=0,"n.a.",L11/IF(AND(COUNTIF('Repeat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0.006796442356100016</x:v>
      </x:c>
      <x:c r="N11" s="7"/>
    </x:row>
    <x:row r="12" ht="22" customHeight="1">
      <x:c r="A12" s="7" t="str">
        <x:f>IF(G12="","",INDEX('Repeat Detail'!$H$6:$H$1005,$G12))</x:f>
        <x:v>Payoff</x:v>
      </x:c>
      <x:c r="B12" s="19" t="n">
        <x:f>IF(G12="","",INDEX('Repeat Detail'!$O$6:$O$1005,$G12))</x:f>
        <x:v>885</x:v>
      </x:c>
      <x:c r="C12" s="21" t="n">
        <x:f>IF(G12="","",IF(INDEX('Repeat Detail'!$P$6:$P$1005,$G12)=0,"n.a.",B12/INDEX('Repeat Detail'!$P$6:$P$1005,$G12)))</x:f>
        <x:v>0.012641412410010284</x:v>
      </x:c>
      <x:c r="D12" s="19" t="n">
        <x:f>IF(G12="","",INDEX('Repeat Detail'!$Q$6:$Q$1005,$G12))</x:f>
        <x:v>267</x:v>
      </x:c>
      <x:c r="E12" s="21" t="n">
        <x:f>IF(G12="","",IF(INDEX('Repeat Detail'!$R$6:$R$1005,$G12)=0,"n.a.",D12/INDEX('Repeat Detail'!$R$6:$R$1005,$G12)))</x:f>
        <x:v>0.016682286785379568</x:v>
      </x:c>
      <x:c r="F12" s="21" t="n">
        <x:f>IF(G12="","",IF(IF(AND(COUNTIF('Repeat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0.00560077194160094</x:v>
      </x:c>
      <x:c r="G12" s="7" t="n">
        <x:f>IF(6&gt;COUNTIF('Repeat Detail'!$A$6:$A$1005,"Topic"),"",MATCH("Topic",'Repeat Detail'!$A$6:$A$1005,0)+5)</x:f>
        <x:v>66</x:v>
      </x:c>
      <x:c r="H12" s="7"/>
      <x:c r="I12" s="7" t="str">
        <x:v>Loan Documents Menu</x:v>
      </x:c>
      <x:c r="J12" s="19" t="n">
        <x:f>SUMIFS('Repeat Detail'!$O$6:$O$1005,'Repeat Detail'!$A$6:$A$1005,"Menu",'Repeat Detail'!$H$6:$H$1005,I12)</x:f>
        <x:v>1179</x:v>
      </x:c>
      <x:c r="K12"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dates"),NA())=0,"n.a.",J12/IF(AND(COUNTIF('Repeat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0.004472397455399311</x:v>
      </x:c>
      <x:c r="L12" s="19" t="n">
        <x:f>SUMIFS('Repeat Detail'!$Q$6:$Q$1005,'Repeat Detail'!$A$6:$A$1005,"Menu",'Repeat Detail'!$H$6:$H$1005,I12)</x:f>
        <x:v>291</x:v>
      </x:c>
      <x:c r="M12"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calls"),NA())=0,"n.a.",L12/IF(AND(COUNTIF('Repeat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0.006104212116126867</x:v>
      </x:c>
      <x:c r="N12" s="7"/>
    </x:row>
    <x:row r="13" ht="22" customHeight="1">
      <x:c r="A13" s="7" t="str">
        <x:f>IF(G13="","",INDEX('Repeat Detail'!$H$6:$H$1005,$G13))</x:f>
        <x:v>Property taxes</x:v>
      </x:c>
      <x:c r="B13" s="19" t="n">
        <x:f>IF(G13="","",INDEX('Repeat Detail'!$O$6:$O$1005,$G13))</x:f>
        <x:v>1398</x:v>
      </x:c>
      <x:c r="C13" s="21" t="n">
        <x:f>IF(G13="","",IF(INDEX('Repeat Detail'!$P$6:$P$1005,$G13)=0,"n.a.",B13/INDEX('Repeat Detail'!$P$6:$P$1005,$G13)))</x:f>
        <x:v>0.019969146383270485</x:v>
      </x:c>
      <x:c r="D13" s="19" t="n">
        <x:f>IF(G13="","",INDEX('Repeat Detail'!$Q$6:$Q$1005,$G13))</x:f>
        <x:v>268</x:v>
      </x:c>
      <x:c r="E13" s="21" t="n">
        <x:f>IF(G13="","",IF(INDEX('Repeat Detail'!$R$6:$R$1005,$G13)=0,"n.a.",D13/INDEX('Repeat Detail'!$R$6:$R$1005,$G13)))</x:f>
        <x:v>0.016744767260231178</x:v>
      </x:c>
      <x:c r="F13" s="21" t="n">
        <x:f>IF(G13="","",IF(IF(AND(COUNTIF('Repeat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0.00562174861553952</x:v>
      </x:c>
      <x:c r="G13" s="7" t="n">
        <x:f>IF(7&gt;COUNTIF('Repeat Detail'!$A$6:$A$1005,"Topic"),"",MATCH("Topic",'Repeat Detail'!$A$6:$A$1005,0)+6)</x:f>
        <x:v>67</x:v>
      </x:c>
      <x:c r="H13" s="7"/>
      <x:c r="I13" s="7" t="str">
        <x:v>Forms Request Menu</x:v>
      </x:c>
      <x:c r="J13" s="19" t="n">
        <x:f>SUMIFS('Repeat Detail'!$O$6:$O$1005,'Repeat Detail'!$A$6:$A$1005,"Menu",'Repeat Detail'!$H$6:$H$1005,I13)</x:f>
        <x:v>154</x:v>
      </x:c>
      <x:c r="K13"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dates"),NA())=0,"n.a.",J13/IF(AND(COUNTIF('Repeat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0.0005841808381098336</x:v>
      </x:c>
      <x:c r="L13" s="19" t="n">
        <x:f>SUMIFS('Repeat Detail'!$Q$6:$Q$1005,'Repeat Detail'!$A$6:$A$1005,"Menu",'Repeat Detail'!$H$6:$H$1005,I13)</x:f>
        <x:v>53</x:v>
      </x:c>
      <x:c r="M13"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calls"),NA())=0,"n.a.",L13/IF(AND(COUNTIF('Repeat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0.0011117637187447558</x:v>
      </x:c>
      <x:c r="N13" s="7"/>
    </x:row>
    <x:row r="14" ht="22" customHeight="1">
      <x:c r="A14" s="7" t="str">
        <x:f>IF(G14="","",INDEX('Repeat Detail'!$H$6:$H$1005,$G14))</x:f>
        <x:v>Automatic payments</x:v>
      </x:c>
      <x:c r="B14" s="19" t="n">
        <x:f>IF(G14="","",INDEX('Repeat Detail'!$O$6:$O$1005,$G14))</x:f>
        <x:v>884</x:v>
      </x:c>
      <x:c r="C14" s="21" t="n">
        <x:f>IF(G14="","",IF(INDEX('Repeat Detail'!$P$6:$P$1005,$G14)=0,"n.a.",B14/INDEX('Repeat Detail'!$P$6:$P$1005,$G14)))</x:f>
        <x:v>0.012627128328191064</x:v>
      </x:c>
      <x:c r="D14" s="19" t="n">
        <x:f>IF(G14="","",INDEX('Repeat Detail'!$Q$6:$Q$1005,$G14))</x:f>
        <x:v>165</x:v>
      </x:c>
      <x:c r="E14" s="21" t="n">
        <x:f>IF(G14="","",IF(INDEX('Repeat Detail'!$R$6:$R$1005,$G14)=0,"n.a.",D14/INDEX('Repeat Detail'!$R$6:$R$1005,$G14)))</x:f>
        <x:v>0.010309278350515464</x:v>
      </x:c>
      <x:c r="F14" s="21" t="n">
        <x:f>IF(G14="","",IF(IF(AND(COUNTIF('Repeat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0.0034611511998657494</x:v>
      </x:c>
      <x:c r="G14" s="7" t="n">
        <x:f>IF(8&gt;COUNTIF('Repeat Detail'!$A$6:$A$1005,"Topic"),"",MATCH("Topic",'Repeat Detail'!$A$6:$A$1005,0)+7)</x:f>
        <x:v>68</x:v>
      </x:c>
      <x:c r="H14" s="7"/>
      <x:c r="I14" s="7" t="str">
        <x:v>ACH</x:v>
      </x:c>
      <x:c r="J14" s="19" t="n">
        <x:f>SUMIFS('Repeat Detail'!$O$6:$O$1005,'Repeat Detail'!$A$6:$A$1005,"Menu",'Repeat Detail'!$H$6:$H$1005,I14)</x:f>
        <x:v>125</x:v>
      </x:c>
      <x:c r="K14"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dates"),NA())=0,"n.a.",J14/IF(AND(COUNTIF('Repeat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0.00047417275820603374</x:v>
      </x:c>
      <x:c r="L14" s="19" t="n">
        <x:f>SUMIFS('Repeat Detail'!$Q$6:$Q$1005,'Repeat Detail'!$A$6:$A$1005,"Menu",'Repeat Detail'!$H$6:$H$1005,I14)</x:f>
        <x:v>36</x:v>
      </x:c>
      <x:c r="M14"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calls"),NA())=0,"n.a.",L14/IF(AND(COUNTIF('Repeat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0.0007551602617888907</x:v>
      </x:c>
      <x:c r="N14" s="7"/>
    </x:row>
    <x:row r="15" ht="22" customHeight="1">
      <x:c r="A15" s="7" t="str">
        <x:f>IF(G15="","",INDEX('Repeat Detail'!$H$6:$H$1005,$G15))</x:f>
        <x:v>Payment status</x:v>
      </x:c>
      <x:c r="B15" s="19" t="n">
        <x:f>IF(G15="","",INDEX('Repeat Detail'!$O$6:$O$1005,$G15))</x:f>
        <x:v>1287</x:v>
      </x:c>
      <x:c r="C15" s="21" t="n">
        <x:f>IF(G15="","",IF(INDEX('Repeat Detail'!$P$6:$P$1005,$G15)=0,"n.a.",B15/INDEX('Repeat Detail'!$P$6:$P$1005,$G15)))</x:f>
        <x:v>0.01838361330133699</x:v>
      </x:c>
      <x:c r="D15" s="19" t="n">
        <x:f>IF(G15="","",INDEX('Repeat Detail'!$Q$6:$Q$1005,$G15))</x:f>
        <x:v>251</x:v>
      </x:c>
      <x:c r="E15" s="21" t="n">
        <x:f>IF(G15="","",IF(INDEX('Repeat Detail'!$R$6:$R$1005,$G15)=0,"n.a.",D15/INDEX('Repeat Detail'!$R$6:$R$1005,$G15)))</x:f>
        <x:v>0.01568259918775383</x:v>
      </x:c>
      <x:c r="F15" s="21" t="n">
        <x:f>IF(G15="","",IF(IF(AND(COUNTIF('Repeat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0.005265145158583655</x:v>
      </x:c>
      <x:c r="G15" s="7" t="n">
        <x:f>IF(9&gt;COUNTIF('Repeat Detail'!$A$6:$A$1005,"Topic"),"",MATCH("Topic",'Repeat Detail'!$A$6:$A$1005,0)+8)</x:f>
        <x:v>69</x:v>
      </x:c>
      <x:c r="H15" s="7"/>
      <x:c r="I15" s="7" t="str">
        <x:v>Representative Menu</x:v>
      </x:c>
      <x:c r="J15" s="19" t="n">
        <x:f>SUMIFS('Repeat Detail'!$O$6:$O$1005,'Repeat Detail'!$A$6:$A$1005,"Menu",'Repeat Detail'!$H$6:$H$1005,I15)</x:f>
        <x:v>53370</x:v>
      </x:c>
      <x:c r="K15"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dates"),NA())=0,"n.a.",J15/IF(AND(COUNTIF('Repeat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0.20245280084364817</x:v>
      </x:c>
      <x:c r="L15" s="19" t="n">
        <x:f>SUMIFS('Repeat Detail'!$Q$6:$Q$1005,'Repeat Detail'!$A$6:$A$1005,"Menu",'Repeat Detail'!$H$6:$H$1005,I15)</x:f>
        <x:v>13163</x:v>
      </x:c>
      <x:c r="M15"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calls"),NA())=0,"n.a.",L15/IF(AND(COUNTIF('Repeat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0.2761159590535325</x:v>
      </x:c>
      <x:c r="N15" s="7"/>
    </x:row>
    <x:row r="16" ht="22" customHeight="1">
      <x:c r="A16" s="7" t="str">
        <x:f>IF(G16="","",INDEX('Repeat Detail'!$H$6:$H$1005,$G16))</x:f>
        <x:v>Make a payment</x:v>
      </x:c>
      <x:c r="B16" s="19" t="n">
        <x:f>IF(G16="","",INDEX('Repeat Detail'!$O$6:$O$1005,$G16))</x:f>
        <x:v>1302</x:v>
      </x:c>
      <x:c r="C16" s="21" t="n">
        <x:f>IF(G16="","",IF(INDEX('Repeat Detail'!$P$6:$P$1005,$G16)=0,"n.a.",B16/INDEX('Repeat Detail'!$P$6:$P$1005,$G16)))</x:f>
        <x:v>0.0185978745286253</x:v>
      </x:c>
      <x:c r="D16" s="19" t="n">
        <x:f>IF(G16="","",INDEX('Repeat Detail'!$Q$6:$Q$1005,$G16))</x:f>
        <x:v>270</x:v>
      </x:c>
      <x:c r="E16" s="21" t="n">
        <x:f>IF(G16="","",IF(INDEX('Repeat Detail'!$R$6:$R$1005,$G16)=0,"n.a.",D16/INDEX('Repeat Detail'!$R$6:$R$1005,$G16)))</x:f>
        <x:v>0.016869728209934397</x:v>
      </x:c>
      <x:c r="F16" s="21" t="n">
        <x:f>IF(G16="","",IF(IF(AND(COUNTIF('Repeat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0.005663701963416681</x:v>
      </x:c>
      <x:c r="G16" s="7" t="n">
        <x:f>IF(10&gt;COUNTIF('Repeat Detail'!$A$6:$A$1005,"Topic"),"",MATCH("Topic",'Repeat Detail'!$A$6:$A$1005,0)+9)</x:f>
        <x:v>70</x:v>
      </x:c>
      <x:c r="H16" s="7"/>
      <x:c r="I16" s="7" t="str">
        <x:v>Return to Main Menu</x:v>
      </x:c>
      <x:c r="J16" s="19" t="n">
        <x:f>SUMIFS('Repeat Detail'!$O$6:$O$1005,'Repeat Detail'!$A$6:$A$1005,"Menu",'Repeat Detail'!$H$6:$H$1005,I16)</x:f>
        <x:v>577</x:v>
      </x:c>
      <x:c r="K16"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dates"),NA())=0,"n.a.",J16/IF(AND(COUNTIF('Repeat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0.002188781451879052</x:v>
      </x:c>
      <x:c r="L16" s="19" t="n">
        <x:f>SUMIFS('Repeat Detail'!$Q$6:$Q$1005,'Repeat Detail'!$A$6:$A$1005,"Menu",'Repeat Detail'!$H$6:$H$1005,I16)</x:f>
        <x:v>127</x:v>
      </x:c>
      <x:c r="M16"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calls"),NA())=0,"n.a.",L16/IF(AND(COUNTIF('Repeat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0.002664037590199698</x:v>
      </x:c>
      <x:c r="N16" s="7"/>
    </x:row>
    <x:row r="17" ht="22" customHeight="1">
      <x:c r="A17" s="7" t="str">
        <x:f>IF(G17="","",INDEX('Repeat Detail'!$H$6:$H$1005,$G17))</x:f>
        <x:v>Payment increase / change</x:v>
      </x:c>
      <x:c r="B17" s="19" t="n">
        <x:f>IF(G17="","",INDEX('Repeat Detail'!$O$6:$O$1005,$G17))</x:f>
        <x:v>166</x:v>
      </x:c>
      <x:c r="C17" s="21" t="n">
        <x:f>IF(G17="","",IF(INDEX('Repeat Detail'!$P$6:$P$1005,$G17)=0,"n.a.",B17/INDEX('Repeat Detail'!$P$6:$P$1005,$G17)))</x:f>
        <x:v>0.0023711575819906298</x:v>
      </x:c>
      <x:c r="D17" s="19" t="n">
        <x:f>IF(G17="","",INDEX('Repeat Detail'!$Q$6:$Q$1005,$G17))</x:f>
        <x:v>38</x:v>
      </x:c>
      <x:c r="E17" s="21" t="n">
        <x:f>IF(G17="","",IF(INDEX('Repeat Detail'!$R$6:$R$1005,$G17)=0,"n.a.",D17/INDEX('Repeat Detail'!$R$6:$R$1005,$G17)))</x:f>
        <x:v>0.0023742580443611373</x:v>
      </x:c>
      <x:c r="F17" s="21" t="n">
        <x:f>IF(G17="","",IF(IF(AND(COUNTIF('Repeat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0.0007971136096660514</x:v>
      </x:c>
      <x:c r="G17" s="7" t="n">
        <x:f>IF(11&gt;COUNTIF('Repeat Detail'!$A$6:$A$1005,"Topic"),"",MATCH("Topic",'Repeat Detail'!$A$6:$A$1005,0)+10)</x:f>
        <x:v>71</x:v>
      </x:c>
      <x:c r="H17" s="7"/>
      <x:c r="I17" s="7" t="str">
        <x:v>No recorded menu</x:v>
      </x:c>
      <x:c r="J17" s="19" t="n">
        <x:f>SUMIFS('Repeat Detail'!$O$6:$O$1005,'Repeat Detail'!$A$6:$A$1005,"Menu",'Repeat Detail'!$H$6:$H$1005,I17)</x:f>
        <x:v>139463</x:v>
      </x:c>
      <x:c r="K17"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dates"),NA())=0,"n.a.",J17/IF(AND(COUNTIF('Repeat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0.5290364430215047</x:v>
      </x:c>
      <x:c r="L17" s="19" t="n">
        <x:f>SUMIFS('Repeat Detail'!$Q$6:$Q$1005,'Repeat Detail'!$A$6:$A$1005,"Menu",'Repeat Detail'!$H$6:$H$1005,I17)</x:f>
        <x:v>20830</x:v>
      </x:c>
      <x:c r="M17"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calls"),NA())=0,"n.a.",L17/IF(AND(COUNTIF('Repeat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0.4369441181406276</x:v>
      </x:c>
      <x:c r="N17" s="7"/>
    </x:row>
    <x:row r="18" ht="22" customHeight="1">
      <x:c r="A18" s="7" t="str">
        <x:f>IF(G18="","",INDEX('Repeat Detail'!$H$6:$H$1005,$G18))</x:f>
        <x:v>Mortgage assistance</x:v>
      </x:c>
      <x:c r="B18" s="19" t="n">
        <x:f>IF(G18="","",INDEX('Repeat Detail'!$O$6:$O$1005,$G18))</x:f>
        <x:v>303</x:v>
      </x:c>
      <x:c r="C18" s="21" t="n">
        <x:f>IF(G18="","",IF(INDEX('Repeat Detail'!$P$6:$P$1005,$G18)=0,"n.a.",B18/INDEX('Repeat Detail'!$P$6:$P$1005,$G18)))</x:f>
        <x:v>0.00432807679122386</x:v>
      </x:c>
      <x:c r="D18" s="19" t="n">
        <x:f>IF(G18="","",INDEX('Repeat Detail'!$Q$6:$Q$1005,$G18))</x:f>
        <x:v>58</x:v>
      </x:c>
      <x:c r="E18" s="21" t="n">
        <x:f>IF(G18="","",IF(INDEX('Repeat Detail'!$R$6:$R$1005,$G18)=0,"n.a.",D18/INDEX('Repeat Detail'!$R$6:$R$1005,$G18)))</x:f>
        <x:v>0.0036238675413933145</x:v>
      </x:c>
      <x:c r="F18" s="21" t="n">
        <x:f>IF(G18="","",IF(IF(AND(COUNTIF('Repeat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0.0012166470884376573</x:v>
      </x:c>
      <x:c r="G18" s="7" t="n">
        <x:f>IF(12&gt;COUNTIF('Repeat Detail'!$A$6:$A$1005,"Topic"),"",MATCH("Topic",'Repeat Detail'!$A$6:$A$1005,0)+11)</x:f>
        <x:v>72</x:v>
      </x:c>
      <x:c r="H18" s="7"/>
      <x:c r="I18" s="7" t="str">
        <x:v>Other menu</x:v>
      </x:c>
      <x:c r="J18" s="19" t="n">
        <x:f>SUMIFS('Repeat Detail'!$O$6:$O$1005,'Repeat Detail'!$A$6:$A$1005,"Menu",'Repeat Detail'!$H$6:$H$1005,I18)</x:f>
        <x:v>0</x:v>
      </x:c>
      <x:c r="K18" s="21" t="n">
        <x:f>IF(IF(AND(COUNTIF('Repeat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dates"),NA())=0,"n.a.",J18/IF(AND(COUNTIF('Repeat Detail'!$A$6:$A$1005,"Quality")=21,COUNTIF('Repeat Detail'!$A$6:$A$1005,"Menu")=12,COUNTIF('Repeat Detail'!$A$6:$A$1005,"Daily")=SUMIFS('Repeat Detail'!$O$6:$O$1005,'Repeat Detail'!$A$6:$A$1005,"Quality",'Repeat Detail'!$H$6:$H$1005,"Date span")),SUMIFS('Repeat Detail'!$O$6:$O$1005,'Repeat Detail'!$A$6:$A$1005,"Quality",'Repeat Detail'!$H$6:$H$1005,"Calls with valid dates"),NA()))</x:f>
        <x:v>0</x:v>
      </x:c>
      <x:c r="L18" s="19" t="n">
        <x:f>SUMIFS('Repeat Detail'!$Q$6:$Q$1005,'Repeat Detail'!$A$6:$A$1005,"Menu",'Repeat Detail'!$H$6:$H$1005,I18)</x:f>
        <x:v>0</x:v>
      </x:c>
      <x:c r="M18" s="21" t="n">
        <x:f>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calls"),NA())=0,"n.a.",L18/IF(AND(COUNTIF('Repeat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x:v>
      </x:c>
      <x:c r="N18" s="7"/>
    </x:row>
    <x:row r="19" ht="22" customHeight="1">
      <x:c r="A19" s="7" t="str">
        <x:f>IF(G19="","",INDEX('Repeat Detail'!$H$6:$H$1005,$G19))</x:f>
        <x:v>Loan assumption / recast</x:v>
      </x:c>
      <x:c r="B19" s="19" t="n">
        <x:f>IF(G19="","",INDEX('Repeat Detail'!$O$6:$O$1005,$G19))</x:f>
        <x:v>818</x:v>
      </x:c>
      <x:c r="C19" s="21" t="n">
        <x:f>IF(G19="","",IF(INDEX('Repeat Detail'!$P$6:$P$1005,$G19)=0,"n.a.",B19/INDEX('Repeat Detail'!$P$6:$P$1005,$G19)))</x:f>
        <x:v>0.0116843789281225</x:v>
      </x:c>
      <x:c r="D19" s="19" t="n">
        <x:f>IF(G19="","",INDEX('Repeat Detail'!$Q$6:$Q$1005,$G19))</x:f>
        <x:v>181</x:v>
      </x:c>
      <x:c r="E19" s="21" t="n">
        <x:f>IF(G19="","",IF(INDEX('Repeat Detail'!$R$6:$R$1005,$G19)=0,"n.a.",D19/INDEX('Repeat Detail'!$R$6:$R$1005,$G19)))</x:f>
        <x:v>0.011308965948141205</x:v>
      </x:c>
      <x:c r="F19" s="21" t="n">
        <x:f>IF(G19="","",IF(IF(AND(COUNTIF('Repeat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0.003796777982883034</x:v>
      </x:c>
      <x:c r="G19" s="7" t="n">
        <x:f>IF(13&gt;COUNTIF('Repeat Detail'!$A$6:$A$1005,"Topic"),"",MATCH("Topic",'Repeat Detail'!$A$6:$A$1005,0)+12)</x:f>
        <x:v>73</x:v>
      </x:c>
      <x:c r="H19" s="7"/>
      <x:c r="I19" s="7"/>
      <x:c r="J19" s="7"/>
      <x:c r="K19" s="7"/>
      <x:c r="L19" s="7"/>
      <x:c r="M19" s="7"/>
      <x:c r="N19" s="7"/>
    </x:row>
    <x:row r="20" ht="22" customHeight="1">
      <x:c r="A20" s="7" t="str">
        <x:f>IF(G20="","",INDEX('Repeat Detail'!$H$6:$H$1005,$G20))</x:f>
        <x:v>Returning a call</x:v>
      </x:c>
      <x:c r="B20" s="19" t="n">
        <x:f>IF(G20="","",INDEX('Repeat Detail'!$O$6:$O$1005,$G20))</x:f>
        <x:v>799</x:v>
      </x:c>
      <x:c r="C20" s="21" t="n">
        <x:f>IF(G20="","",IF(INDEX('Repeat Detail'!$P$6:$P$1005,$G20)=0,"n.a.",B20/INDEX('Repeat Detail'!$P$6:$P$1005,$G20)))</x:f>
        <x:v>0.011412981373557307</x:v>
      </x:c>
      <x:c r="D20" s="19" t="n">
        <x:f>IF(G20="","",INDEX('Repeat Detail'!$Q$6:$Q$1005,$G20))</x:f>
        <x:v>151</x:v>
      </x:c>
      <x:c r="E20" s="21" t="n">
        <x:f>IF(G20="","",IF(INDEX('Repeat Detail'!$R$6:$R$1005,$G20)=0,"n.a.",D20/INDEX('Repeat Detail'!$R$6:$R$1005,$G20)))</x:f>
        <x:v>0.00943455170259294</x:v>
      </x:c>
      <x:c r="F20" s="21" t="n">
        <x:f>IF(G20="","",IF(IF(AND(COUNTIF('Repeat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calls"),NA())=0,"n.a.",D20/IF(AND(COUNTIF('Repeat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0.003167477764725625</x:v>
      </x:c>
      <x:c r="G20" s="7" t="n">
        <x:f>IF(14&gt;COUNTIF('Repeat Detail'!$A$6:$A$1005,"Topic"),"",MATCH("Topic",'Repeat Detail'!$A$6:$A$1005,0)+13)</x:f>
        <x:v>74</x:v>
      </x:c>
      <x:c r="H20" s="7"/>
      <x:c r="I20" s="7"/>
      <x:c r="J20" s="7"/>
      <x:c r="K20" s="7"/>
      <x:c r="L20" s="7"/>
      <x:c r="M20" s="7"/>
      <x:c r="N20" s="7"/>
    </x:row>
    <x:row r="21" ht="22" customHeight="1">
      <x:c r="A21" s="7" t="str">
        <x:f>IF(G21="","",INDEX('Repeat Detail'!$H$6:$H$1005,$G21))</x:f>
        <x:v>Request for agent</x:v>
      </x:c>
      <x:c r="B21" s="19" t="n">
        <x:f>IF(G21="","",INDEX('Repeat Detail'!$O$6:$O$1005,$G21))</x:f>
        <x:v>16001</x:v>
      </x:c>
      <x:c r="C21" s="21" t="n">
        <x:f>IF(G21="","",IF(INDEX('Repeat Detail'!$P$6:$P$1005,$G21)=0,"n.a.",B21/INDEX('Repeat Detail'!$P$6:$P$1005,$G21)))</x:f>
        <x:v>0.2285595931893498</x:v>
      </x:c>
      <x:c r="D21" s="19" t="n">
        <x:f>IF(G21="","",INDEX('Repeat Detail'!$Q$6:$Q$1005,$G21))</x:f>
        <x:v>3934</x:v>
      </x:c>
      <x:c r="E21" s="21" t="n">
        <x:f>IF(G21="","",IF(INDEX('Repeat Detail'!$R$6:$R$1005,$G21)=0,"n.a.",D21/INDEX('Repeat Detail'!$R$6:$R$1005,$G21)))</x:f>
        <x:v>0.2457981880662293</x:v>
      </x:c>
      <x:c r="F21" s="21" t="n">
        <x:f>IF(G21="","",IF(IF(AND(COUNTIF('Repeat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calls"),NA())=0,"n.a.",D21/IF(AND(COUNTIF('Repeat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v>0.0825222352743749</x:v>
      </x:c>
      <x:c r="G21" s="7" t="n">
        <x:f>IF(15&gt;COUNTIF('Repeat Detail'!$A$6:$A$1005,"Topic"),"",MATCH("Topic",'Repeat Detail'!$A$6:$A$1005,0)+14)</x:f>
        <x:v>75</x:v>
      </x:c>
      <x:c r="H21" s="7"/>
      <x:c r="I21" s="7"/>
      <x:c r="J21" s="7"/>
      <x:c r="K21" s="7"/>
      <x:c r="L21" s="7"/>
      <x:c r="M21" s="7"/>
      <x:c r="N21" s="7"/>
    </x:row>
    <x:row r="22" ht="22" customHeight="1">
      <x:c r="A22" s="7" t="str">
        <x:f>IF(G22="","",INDEX('Repeat Detail'!$H$6:$H$1005,$G22))</x:f>
      </x:c>
      <x:c r="B22" s="19" t="str">
        <x:f>IF(G22="","",INDEX('Repeat Detail'!$O$6:$O$1005,$G22))</x:f>
      </x:c>
      <x:c r="C22" s="21" t="str">
        <x:f>IF(G22="","",IF(INDEX('Repeat Detail'!$P$6:$P$1005,$G22)=0,"n.a.",B22/INDEX('Repeat Detail'!$P$6:$P$1005,$G22)))</x:f>
      </x:c>
      <x:c r="D22" s="19" t="str">
        <x:f>IF(G22="","",INDEX('Repeat Detail'!$Q$6:$Q$1005,$G22))</x:f>
      </x:c>
      <x:c r="E22" s="21" t="str">
        <x:f>IF(G22="","",IF(INDEX('Repeat Detail'!$R$6:$R$1005,$G22)=0,"n.a.",D22/INDEX('Repeat Detail'!$R$6:$R$1005,$G22)))</x:f>
      </x:c>
      <x:c r="F22" s="21" t="str">
        <x:f>IF(G22="","",IF(IF(AND(COUNTIF('Repeat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calls"),NA())=0,"n.a.",D22/IF(AND(COUNTIF('Repeat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22" s="7" t="str">
        <x:f>IF(16&gt;COUNTIF('Repeat Detail'!$A$6:$A$1005,"Topic"),"",MATCH("Topic",'Repeat Detail'!$A$6:$A$1005,0)+15)</x:f>
      </x:c>
      <x:c r="H22" s="7"/>
      <x:c r="I22" s="7"/>
      <x:c r="J22" s="7"/>
      <x:c r="K22" s="7"/>
      <x:c r="L22" s="7"/>
      <x:c r="M22" s="7"/>
      <x:c r="N22" s="7"/>
    </x:row>
    <x:row r="23" ht="22" customHeight="1">
      <x:c r="A23" s="7" t="str">
        <x:f>IF(G23="","",INDEX('Repeat Detail'!$H$6:$H$1005,$G23))</x:f>
      </x:c>
      <x:c r="B23" s="19" t="str">
        <x:f>IF(G23="","",INDEX('Repeat Detail'!$O$6:$O$1005,$G23))</x:f>
      </x:c>
      <x:c r="C23" s="21" t="str">
        <x:f>IF(G23="","",IF(INDEX('Repeat Detail'!$P$6:$P$1005,$G23)=0,"n.a.",B23/INDEX('Repeat Detail'!$P$6:$P$1005,$G23)))</x:f>
      </x:c>
      <x:c r="D23" s="19" t="str">
        <x:f>IF(G23="","",INDEX('Repeat Detail'!$Q$6:$Q$1005,$G23))</x:f>
      </x:c>
      <x:c r="E23" s="21" t="str">
        <x:f>IF(G23="","",IF(INDEX('Repeat Detail'!$R$6:$R$1005,$G23)=0,"n.a.",D23/INDEX('Repeat Detail'!$R$6:$R$1005,$G23)))</x:f>
      </x:c>
      <x:c r="F23" s="21" t="str">
        <x:f>IF(G23="","",IF(IF(AND(COUNTIF('Repeat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calls"),NA())=0,"n.a.",D23/IF(AND(COUNTIF('Repeat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23" s="7" t="str">
        <x:f>IF(17&gt;COUNTIF('Repeat Detail'!$A$6:$A$1005,"Topic"),"",MATCH("Topic",'Repeat Detail'!$A$6:$A$1005,0)+16)</x:f>
      </x:c>
      <x:c r="H23" s="7"/>
      <x:c r="I23" s="7"/>
      <x:c r="J23" s="7"/>
      <x:c r="K23" s="7"/>
      <x:c r="L23" s="7"/>
      <x:c r="M23" s="7"/>
      <x:c r="N23" s="7"/>
    </x:row>
    <x:row r="24" ht="22" customHeight="1">
      <x:c r="A24" s="7" t="str">
        <x:f>IF(G24="","",INDEX('Repeat Detail'!$H$6:$H$1005,$G24))</x:f>
      </x:c>
      <x:c r="B24" s="19" t="str">
        <x:f>IF(G24="","",INDEX('Repeat Detail'!$O$6:$O$1005,$G24))</x:f>
      </x:c>
      <x:c r="C24" s="21" t="str">
        <x:f>IF(G24="","",IF(INDEX('Repeat Detail'!$P$6:$P$1005,$G24)=0,"n.a.",B24/INDEX('Repeat Detail'!$P$6:$P$1005,$G24)))</x:f>
      </x:c>
      <x:c r="D24" s="19" t="str">
        <x:f>IF(G24="","",INDEX('Repeat Detail'!$Q$6:$Q$1005,$G24))</x:f>
      </x:c>
      <x:c r="E24" s="21" t="str">
        <x:f>IF(G24="","",IF(INDEX('Repeat Detail'!$R$6:$R$1005,$G24)=0,"n.a.",D24/INDEX('Repeat Detail'!$R$6:$R$1005,$G24)))</x:f>
      </x:c>
      <x:c r="F24" s="21" t="str">
        <x:f>IF(G24="","",IF(IF(AND(COUNTIF('Repeat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calls"),NA())=0,"n.a.",D24/IF(AND(COUNTIF('Repeat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24" s="7" t="str">
        <x:f>IF(18&gt;COUNTIF('Repeat Detail'!$A$6:$A$1005,"Topic"),"",MATCH("Topic",'Repeat Detail'!$A$6:$A$1005,0)+17)</x:f>
      </x:c>
      <x:c r="H24" s="7"/>
      <x:c r="I24" s="7"/>
      <x:c r="J24" s="7"/>
      <x:c r="K24" s="7"/>
      <x:c r="L24" s="7"/>
      <x:c r="M24" s="7"/>
      <x:c r="N24" s="7"/>
    </x:row>
    <x:row r="25" ht="22" customHeight="1">
      <x:c r="A25" s="7" t="str">
        <x:f>IF(G25="","",INDEX('Repeat Detail'!$H$6:$H$1005,$G25))</x:f>
      </x:c>
      <x:c r="B25" s="19" t="str">
        <x:f>IF(G25="","",INDEX('Repeat Detail'!$O$6:$O$1005,$G25))</x:f>
      </x:c>
      <x:c r="C25" s="21" t="str">
        <x:f>IF(G25="","",IF(INDEX('Repeat Detail'!$P$6:$P$1005,$G25)=0,"n.a.",B25/INDEX('Repeat Detail'!$P$6:$P$1005,$G25)))</x:f>
      </x:c>
      <x:c r="D25" s="19" t="str">
        <x:f>IF(G25="","",INDEX('Repeat Detail'!$Q$6:$Q$1005,$G25))</x:f>
      </x:c>
      <x:c r="E25" s="21" t="str">
        <x:f>IF(G25="","",IF(INDEX('Repeat Detail'!$R$6:$R$1005,$G25)=0,"n.a.",D25/INDEX('Repeat Detail'!$R$6:$R$1005,$G25)))</x:f>
      </x:c>
      <x:c r="F25" s="21" t="str">
        <x:f>IF(G25="","",IF(IF(AND(COUNTIF('Repeat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calls"),NA())=0,"n.a.",D25/IF(AND(COUNTIF('Repeat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25" s="7" t="str">
        <x:f>IF(19&gt;COUNTIF('Repeat Detail'!$A$6:$A$1005,"Topic"),"",MATCH("Topic",'Repeat Detail'!$A$6:$A$1005,0)+18)</x:f>
      </x:c>
      <x:c r="H25" s="7"/>
      <x:c r="I25" s="7"/>
      <x:c r="J25" s="7"/>
      <x:c r="K25" s="7"/>
      <x:c r="L25" s="7"/>
      <x:c r="M25" s="7"/>
      <x:c r="N25" s="7"/>
    </x:row>
    <x:row r="26" ht="22" customHeight="1">
      <x:c r="A26" s="7" t="str">
        <x:f>IF(G26="","",INDEX('Repeat Detail'!$H$6:$H$1005,$G26))</x:f>
      </x:c>
      <x:c r="B26" s="19" t="str">
        <x:f>IF(G26="","",INDEX('Repeat Detail'!$O$6:$O$1005,$G26))</x:f>
      </x:c>
      <x:c r="C26" s="21" t="str">
        <x:f>IF(G26="","",IF(INDEX('Repeat Detail'!$P$6:$P$1005,$G26)=0,"n.a.",B26/INDEX('Repeat Detail'!$P$6:$P$1005,$G26)))</x:f>
      </x:c>
      <x:c r="D26" s="19" t="str">
        <x:f>IF(G26="","",INDEX('Repeat Detail'!$Q$6:$Q$1005,$G26))</x:f>
      </x:c>
      <x:c r="E26" s="21" t="str">
        <x:f>IF(G26="","",IF(INDEX('Repeat Detail'!$R$6:$R$1005,$G26)=0,"n.a.",D26/INDEX('Repeat Detail'!$R$6:$R$1005,$G26)))</x:f>
      </x:c>
      <x:c r="F26" s="21" t="str">
        <x:f>IF(G26="","",IF(IF(AND(COUNTIF('Repeat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calls"),NA())=0,"n.a.",D26/IF(AND(COUNTIF('Repeat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26" s="7" t="str">
        <x:f>IF(20&gt;COUNTIF('Repeat Detail'!$A$6:$A$1005,"Topic"),"",MATCH("Topic",'Repeat Detail'!$A$6:$A$1005,0)+19)</x:f>
      </x:c>
      <x:c r="H26" s="7"/>
      <x:c r="I26" s="7"/>
      <x:c r="J26" s="7"/>
      <x:c r="K26" s="7"/>
      <x:c r="L26" s="7"/>
      <x:c r="M26" s="7"/>
      <x:c r="N26" s="7"/>
    </x:row>
    <x:row r="27" ht="22" customHeight="1">
      <x:c r="A27" s="7" t="str">
        <x:f>IF(G27="","",INDEX('Repeat Detail'!$H$6:$H$1005,$G27))</x:f>
      </x:c>
      <x:c r="B27" s="19" t="str">
        <x:f>IF(G27="","",INDEX('Repeat Detail'!$O$6:$O$1005,$G27))</x:f>
      </x:c>
      <x:c r="C27" s="21" t="str">
        <x:f>IF(G27="","",IF(INDEX('Repeat Detail'!$P$6:$P$1005,$G27)=0,"n.a.",B27/INDEX('Repeat Detail'!$P$6:$P$1005,$G27)))</x:f>
      </x:c>
      <x:c r="D27" s="19" t="str">
        <x:f>IF(G27="","",INDEX('Repeat Detail'!$Q$6:$Q$1005,$G27))</x:f>
      </x:c>
      <x:c r="E27" s="21" t="str">
        <x:f>IF(G27="","",IF(INDEX('Repeat Detail'!$R$6:$R$1005,$G27)=0,"n.a.",D27/INDEX('Repeat Detail'!$R$6:$R$1005,$G27)))</x:f>
      </x:c>
      <x:c r="F27" s="21" t="str">
        <x:f>IF(G27="","",IF(IF(AND(COUNTIF('Repeat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calls"),NA())=0,"n.a.",D27/IF(AND(COUNTIF('Repeat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27" s="7" t="str">
        <x:f>IF(21&gt;COUNTIF('Repeat Detail'!$A$6:$A$1005,"Topic"),"",MATCH("Topic",'Repeat Detail'!$A$6:$A$1005,0)+20)</x:f>
      </x:c>
      <x:c r="H27" s="7"/>
      <x:c r="I27" s="7"/>
      <x:c r="J27" s="7"/>
      <x:c r="K27" s="7"/>
      <x:c r="L27" s="7"/>
      <x:c r="M27" s="7"/>
      <x:c r="N27" s="7"/>
    </x:row>
    <x:row r="28" ht="22" customHeight="1">
      <x:c r="A28" s="7" t="str">
        <x:f>IF(G28="","",INDEX('Repeat Detail'!$H$6:$H$1005,$G28))</x:f>
      </x:c>
      <x:c r="B28" s="19" t="str">
        <x:f>IF(G28="","",INDEX('Repeat Detail'!$O$6:$O$1005,$G28))</x:f>
      </x:c>
      <x:c r="C28" s="21" t="str">
        <x:f>IF(G28="","",IF(INDEX('Repeat Detail'!$P$6:$P$1005,$G28)=0,"n.a.",B28/INDEX('Repeat Detail'!$P$6:$P$1005,$G28)))</x:f>
      </x:c>
      <x:c r="D28" s="19" t="str">
        <x:f>IF(G28="","",INDEX('Repeat Detail'!$Q$6:$Q$1005,$G28))</x:f>
      </x:c>
      <x:c r="E28" s="21" t="str">
        <x:f>IF(G28="","",IF(INDEX('Repeat Detail'!$R$6:$R$1005,$G28)=0,"n.a.",D28/INDEX('Repeat Detail'!$R$6:$R$1005,$G28)))</x:f>
      </x:c>
      <x:c r="F28" s="21" t="str">
        <x:f>IF(G28="","",IF(IF(AND(COUNTIF('Repeat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calls"),NA())=0,"n.a.",D28/IF(AND(COUNTIF('Repeat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28" s="7" t="str">
        <x:f>IF(22&gt;COUNTIF('Repeat Detail'!$A$6:$A$1005,"Topic"),"",MATCH("Topic",'Repeat Detail'!$A$6:$A$1005,0)+21)</x:f>
      </x:c>
      <x:c r="H28" s="7"/>
      <x:c r="I28" s="7"/>
      <x:c r="J28" s="7"/>
      <x:c r="K28" s="7"/>
      <x:c r="L28" s="7"/>
      <x:c r="M28" s="7"/>
      <x:c r="N28" s="7"/>
    </x:row>
    <x:row r="29" ht="22" customHeight="1">
      <x:c r="A29" s="7" t="str">
        <x:f>IF(G29="","",INDEX('Repeat Detail'!$H$6:$H$1005,$G29))</x:f>
      </x:c>
      <x:c r="B29" s="19" t="str">
        <x:f>IF(G29="","",INDEX('Repeat Detail'!$O$6:$O$1005,$G29))</x:f>
      </x:c>
      <x:c r="C29" s="21" t="str">
        <x:f>IF(G29="","",IF(INDEX('Repeat Detail'!$P$6:$P$1005,$G29)=0,"n.a.",B29/INDEX('Repeat Detail'!$P$6:$P$1005,$G29)))</x:f>
      </x:c>
      <x:c r="D29" s="19" t="str">
        <x:f>IF(G29="","",INDEX('Repeat Detail'!$Q$6:$Q$1005,$G29))</x:f>
      </x:c>
      <x:c r="E29" s="21" t="str">
        <x:f>IF(G29="","",IF(INDEX('Repeat Detail'!$R$6:$R$1005,$G29)=0,"n.a.",D29/INDEX('Repeat Detail'!$R$6:$R$1005,$G29)))</x:f>
      </x:c>
      <x:c r="F29" s="21" t="str">
        <x:f>IF(G29="","",IF(IF(AND(COUNTIF('Repeat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calls"),NA())=0,"n.a.",D29/IF(AND(COUNTIF('Repeat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29" s="7" t="str">
        <x:f>IF(23&gt;COUNTIF('Repeat Detail'!$A$6:$A$1005,"Topic"),"",MATCH("Topic",'Repeat Detail'!$A$6:$A$1005,0)+22)</x:f>
      </x:c>
      <x:c r="H29" s="7"/>
      <x:c r="I29" s="7"/>
      <x:c r="J29" s="7"/>
      <x:c r="K29" s="7"/>
      <x:c r="L29" s="7"/>
      <x:c r="M29" s="7"/>
      <x:c r="N29" s="7"/>
    </x:row>
    <x:row r="30" ht="22" customHeight="1">
      <x:c r="A30" s="7" t="str">
        <x:f>IF(G30="","",INDEX('Repeat Detail'!$H$6:$H$1005,$G30))</x:f>
      </x:c>
      <x:c r="B30" s="19" t="str">
        <x:f>IF(G30="","",INDEX('Repeat Detail'!$O$6:$O$1005,$G30))</x:f>
      </x:c>
      <x:c r="C30" s="21" t="str">
        <x:f>IF(G30="","",IF(INDEX('Repeat Detail'!$P$6:$P$1005,$G30)=0,"n.a.",B30/INDEX('Repeat Detail'!$P$6:$P$1005,$G30)))</x:f>
      </x:c>
      <x:c r="D30" s="19" t="str">
        <x:f>IF(G30="","",INDEX('Repeat Detail'!$Q$6:$Q$1005,$G30))</x:f>
      </x:c>
      <x:c r="E30" s="21" t="str">
        <x:f>IF(G30="","",IF(INDEX('Repeat Detail'!$R$6:$R$1005,$G30)=0,"n.a.",D30/INDEX('Repeat Detail'!$R$6:$R$1005,$G30)))</x:f>
      </x:c>
      <x:c r="F30" s="21" t="str">
        <x:f>IF(G30="","",IF(IF(AND(COUNTIF('Repeat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calls"),NA())=0,"n.a.",D30/IF(AND(COUNTIF('Repeat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30" s="7" t="str">
        <x:f>IF(24&gt;COUNTIF('Repeat Detail'!$A$6:$A$1005,"Topic"),"",MATCH("Topic",'Repeat Detail'!$A$6:$A$1005,0)+23)</x:f>
      </x:c>
      <x:c r="H30" s="7"/>
      <x:c r="I30" s="7"/>
      <x:c r="J30" s="7"/>
      <x:c r="K30" s="7"/>
      <x:c r="L30" s="7"/>
      <x:c r="M30" s="7"/>
      <x:c r="N30" s="7"/>
    </x:row>
    <x:row r="31" ht="22" customHeight="1">
      <x:c r="A31" s="7" t="str">
        <x:f>IF(G31="","",INDEX('Repeat Detail'!$H$6:$H$1005,$G31))</x:f>
      </x:c>
      <x:c r="B31" s="19" t="str">
        <x:f>IF(G31="","",INDEX('Repeat Detail'!$O$6:$O$1005,$G31))</x:f>
      </x:c>
      <x:c r="C31" s="21" t="str">
        <x:f>IF(G31="","",IF(INDEX('Repeat Detail'!$P$6:$P$1005,$G31)=0,"n.a.",B31/INDEX('Repeat Detail'!$P$6:$P$1005,$G31)))</x:f>
      </x:c>
      <x:c r="D31" s="19" t="str">
        <x:f>IF(G31="","",INDEX('Repeat Detail'!$Q$6:$Q$1005,$G31))</x:f>
      </x:c>
      <x:c r="E31" s="21" t="str">
        <x:f>IF(G31="","",IF(INDEX('Repeat Detail'!$R$6:$R$1005,$G31)=0,"n.a.",D31/INDEX('Repeat Detail'!$R$6:$R$1005,$G31)))</x:f>
      </x:c>
      <x:c r="F31" s="21" t="str">
        <x:f>IF(G31="","",IF(IF(AND(COUNTIF('Repeat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calls"),NA())=0,"n.a.",D31/IF(AND(COUNTIF('Repeat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31" s="7" t="str">
        <x:f>IF(25&gt;COUNTIF('Repeat Detail'!$A$6:$A$1005,"Topic"),"",MATCH("Topic",'Repeat Detail'!$A$6:$A$1005,0)+24)</x:f>
      </x:c>
      <x:c r="H31" s="7"/>
      <x:c r="I31" s="7"/>
      <x:c r="J31" s="7"/>
      <x:c r="K31" s="7"/>
      <x:c r="L31" s="7"/>
      <x:c r="M31" s="7"/>
      <x:c r="N31" s="7"/>
    </x:row>
    <x:row r="32" ht="22" customHeight="1">
      <x:c r="A32" s="7" t="str">
        <x:f>IF(G32="","",INDEX('Repeat Detail'!$H$6:$H$1005,$G32))</x:f>
      </x:c>
      <x:c r="B32" s="19" t="str">
        <x:f>IF(G32="","",INDEX('Repeat Detail'!$O$6:$O$1005,$G32))</x:f>
      </x:c>
      <x:c r="C32" s="21" t="str">
        <x:f>IF(G32="","",IF(INDEX('Repeat Detail'!$P$6:$P$1005,$G32)=0,"n.a.",B32/INDEX('Repeat Detail'!$P$6:$P$1005,$G32)))</x:f>
      </x:c>
      <x:c r="D32" s="19" t="str">
        <x:f>IF(G32="","",INDEX('Repeat Detail'!$Q$6:$Q$1005,$G32))</x:f>
      </x:c>
      <x:c r="E32" s="21" t="str">
        <x:f>IF(G32="","",IF(INDEX('Repeat Detail'!$R$6:$R$1005,$G32)=0,"n.a.",D32/INDEX('Repeat Detail'!$R$6:$R$1005,$G32)))</x:f>
      </x:c>
      <x:c r="F32" s="21" t="str">
        <x:f>IF(G32="","",IF(IF(AND(COUNTIF('Repeat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calls"),NA())=0,"n.a.",D32/IF(AND(COUNTIF('Repeat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32" s="7" t="str">
        <x:f>IF(26&gt;COUNTIF('Repeat Detail'!$A$6:$A$1005,"Topic"),"",MATCH("Topic",'Repeat Detail'!$A$6:$A$1005,0)+25)</x:f>
      </x:c>
      <x:c r="H32" s="7"/>
      <x:c r="I32" s="7"/>
      <x:c r="J32" s="7"/>
      <x:c r="K32" s="7"/>
      <x:c r="L32" s="7"/>
      <x:c r="M32" s="7"/>
      <x:c r="N32" s="7"/>
    </x:row>
    <x:row r="33" ht="22" customHeight="1">
      <x:c r="A33" s="7" t="str">
        <x:f>IF(G33="","",INDEX('Repeat Detail'!$H$6:$H$1005,$G33))</x:f>
      </x:c>
      <x:c r="B33" s="19" t="str">
        <x:f>IF(G33="","",INDEX('Repeat Detail'!$O$6:$O$1005,$G33))</x:f>
      </x:c>
      <x:c r="C33" s="21" t="str">
        <x:f>IF(G33="","",IF(INDEX('Repeat Detail'!$P$6:$P$1005,$G33)=0,"n.a.",B33/INDEX('Repeat Detail'!$P$6:$P$1005,$G33)))</x:f>
      </x:c>
      <x:c r="D33" s="19" t="str">
        <x:f>IF(G33="","",INDEX('Repeat Detail'!$Q$6:$Q$1005,$G33))</x:f>
      </x:c>
      <x:c r="E33" s="21" t="str">
        <x:f>IF(G33="","",IF(INDEX('Repeat Detail'!$R$6:$R$1005,$G33)=0,"n.a.",D33/INDEX('Repeat Detail'!$R$6:$R$1005,$G33)))</x:f>
      </x:c>
      <x:c r="F33" s="21" t="str">
        <x:f>IF(G33="","",IF(IF(AND(COUNTIF('Repeat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calls"),NA())=0,"n.a.",D33/IF(AND(COUNTIF('Repeat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33" s="7" t="str">
        <x:f>IF(27&gt;COUNTIF('Repeat Detail'!$A$6:$A$1005,"Topic"),"",MATCH("Topic",'Repeat Detail'!$A$6:$A$1005,0)+26)</x:f>
      </x:c>
      <x:c r="H33" s="7"/>
      <x:c r="I33" s="7"/>
      <x:c r="J33" s="7"/>
      <x:c r="K33" s="7"/>
      <x:c r="L33" s="7"/>
      <x:c r="M33" s="7"/>
      <x:c r="N33" s="7"/>
    </x:row>
    <x:row r="34" ht="22" customHeight="1">
      <x:c r="A34" s="7" t="str">
        <x:f>IF(G34="","",INDEX('Repeat Detail'!$H$6:$H$1005,$G34))</x:f>
      </x:c>
      <x:c r="B34" s="19" t="str">
        <x:f>IF(G34="","",INDEX('Repeat Detail'!$O$6:$O$1005,$G34))</x:f>
      </x:c>
      <x:c r="C34" s="21" t="str">
        <x:f>IF(G34="","",IF(INDEX('Repeat Detail'!$P$6:$P$1005,$G34)=0,"n.a.",B34/INDEX('Repeat Detail'!$P$6:$P$1005,$G34)))</x:f>
      </x:c>
      <x:c r="D34" s="19" t="str">
        <x:f>IF(G34="","",INDEX('Repeat Detail'!$Q$6:$Q$1005,$G34))</x:f>
      </x:c>
      <x:c r="E34" s="21" t="str">
        <x:f>IF(G34="","",IF(INDEX('Repeat Detail'!$R$6:$R$1005,$G34)=0,"n.a.",D34/INDEX('Repeat Detail'!$R$6:$R$1005,$G34)))</x:f>
      </x:c>
      <x:c r="F34" s="21" t="str">
        <x:f>IF(G34="","",IF(IF(AND(COUNTIF('Repeat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calls"),NA())=0,"n.a.",D34/IF(AND(COUNTIF('Repeat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34" s="7" t="str">
        <x:f>IF(28&gt;COUNTIF('Repeat Detail'!$A$6:$A$1005,"Topic"),"",MATCH("Topic",'Repeat Detail'!$A$6:$A$1005,0)+27)</x:f>
      </x:c>
      <x:c r="H34" s="7"/>
      <x:c r="I34" s="7"/>
      <x:c r="J34" s="7"/>
      <x:c r="K34" s="7"/>
      <x:c r="L34" s="7"/>
      <x:c r="M34" s="7"/>
      <x:c r="N34" s="7"/>
    </x:row>
    <x:row r="35" ht="22" customHeight="1">
      <x:c r="A35" s="7" t="str">
        <x:f>IF(G35="","",INDEX('Repeat Detail'!$H$6:$H$1005,$G35))</x:f>
      </x:c>
      <x:c r="B35" s="19" t="str">
        <x:f>IF(G35="","",INDEX('Repeat Detail'!$O$6:$O$1005,$G35))</x:f>
      </x:c>
      <x:c r="C35" s="21" t="str">
        <x:f>IF(G35="","",IF(INDEX('Repeat Detail'!$P$6:$P$1005,$G35)=0,"n.a.",B35/INDEX('Repeat Detail'!$P$6:$P$1005,$G35)))</x:f>
      </x:c>
      <x:c r="D35" s="19" t="str">
        <x:f>IF(G35="","",INDEX('Repeat Detail'!$Q$6:$Q$1005,$G35))</x:f>
      </x:c>
      <x:c r="E35" s="21" t="str">
        <x:f>IF(G35="","",IF(INDEX('Repeat Detail'!$R$6:$R$1005,$G35)=0,"n.a.",D35/INDEX('Repeat Detail'!$R$6:$R$1005,$G35)))</x:f>
      </x:c>
      <x:c r="F35" s="21" t="str">
        <x:f>IF(G35="","",IF(IF(AND(COUNTIF('Repeat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calls"),NA())=0,"n.a.",D35/IF(AND(COUNTIF('Repeat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35" s="7" t="str">
        <x:f>IF(29&gt;COUNTIF('Repeat Detail'!$A$6:$A$1005,"Topic"),"",MATCH("Topic",'Repeat Detail'!$A$6:$A$1005,0)+28)</x:f>
      </x:c>
      <x:c r="H35" s="7"/>
      <x:c r="I35" s="7"/>
      <x:c r="J35" s="7"/>
      <x:c r="K35" s="7"/>
      <x:c r="L35" s="7"/>
      <x:c r="M35" s="7"/>
      <x:c r="N35" s="7"/>
    </x:row>
    <x:row r="36" ht="22" customHeight="1">
      <x:c r="A36" s="7" t="str">
        <x:f>IF(G36="","",INDEX('Repeat Detail'!$H$6:$H$1005,$G36))</x:f>
      </x:c>
      <x:c r="B36" s="19" t="str">
        <x:f>IF(G36="","",INDEX('Repeat Detail'!$O$6:$O$1005,$G36))</x:f>
      </x:c>
      <x:c r="C36" s="21" t="str">
        <x:f>IF(G36="","",IF(INDEX('Repeat Detail'!$P$6:$P$1005,$G36)=0,"n.a.",B36/INDEX('Repeat Detail'!$P$6:$P$1005,$G36)))</x:f>
      </x:c>
      <x:c r="D36" s="19" t="str">
        <x:f>IF(G36="","",INDEX('Repeat Detail'!$Q$6:$Q$1005,$G36))</x:f>
      </x:c>
      <x:c r="E36" s="21" t="str">
        <x:f>IF(G36="","",IF(INDEX('Repeat Detail'!$R$6:$R$1005,$G36)=0,"n.a.",D36/INDEX('Repeat Detail'!$R$6:$R$1005,$G36)))</x:f>
      </x:c>
      <x:c r="F36" s="21" t="str">
        <x:f>IF(G36="","",IF(IF(AND(COUNTIF('Repeat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calls"),NA())=0,"n.a.",D36/IF(AND(COUNTIF('Repeat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36" s="7" t="str">
        <x:f>IF(30&gt;COUNTIF('Repeat Detail'!$A$6:$A$1005,"Topic"),"",MATCH("Topic",'Repeat Detail'!$A$6:$A$1005,0)+29)</x:f>
      </x:c>
      <x:c r="H36" s="7"/>
      <x:c r="I36" s="7"/>
      <x:c r="J36" s="7"/>
      <x:c r="K36" s="7"/>
      <x:c r="L36" s="7"/>
      <x:c r="M36" s="7"/>
      <x:c r="N36" s="7"/>
    </x:row>
    <x:row r="37" ht="22" customHeight="1">
      <x:c r="A37" s="7" t="str">
        <x:f>IF(G37="","",INDEX('Repeat Detail'!$H$6:$H$1005,$G37))</x:f>
      </x:c>
      <x:c r="B37" s="19" t="str">
        <x:f>IF(G37="","",INDEX('Repeat Detail'!$O$6:$O$1005,$G37))</x:f>
      </x:c>
      <x:c r="C37" s="21" t="str">
        <x:f>IF(G37="","",IF(INDEX('Repeat Detail'!$P$6:$P$1005,$G37)=0,"n.a.",B37/INDEX('Repeat Detail'!$P$6:$P$1005,$G37)))</x:f>
      </x:c>
      <x:c r="D37" s="19" t="str">
        <x:f>IF(G37="","",INDEX('Repeat Detail'!$Q$6:$Q$1005,$G37))</x:f>
      </x:c>
      <x:c r="E37" s="21" t="str">
        <x:f>IF(G37="","",IF(INDEX('Repeat Detail'!$R$6:$R$1005,$G37)=0,"n.a.",D37/INDEX('Repeat Detail'!$R$6:$R$1005,$G37)))</x:f>
      </x:c>
      <x:c r="F37" s="21" t="str">
        <x:f>IF(G37="","",IF(IF(AND(COUNTIF('Repeat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calls"),NA())=0,"n.a.",D37/IF(AND(COUNTIF('Repeat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37" s="7" t="str">
        <x:f>IF(31&gt;COUNTIF('Repeat Detail'!$A$6:$A$1005,"Topic"),"",MATCH("Topic",'Repeat Detail'!$A$6:$A$1005,0)+30)</x:f>
      </x:c>
      <x:c r="H37" s="7"/>
      <x:c r="I37" s="7"/>
      <x:c r="J37" s="7"/>
      <x:c r="K37" s="7"/>
      <x:c r="L37" s="7"/>
      <x:c r="M37" s="7"/>
      <x:c r="N37" s="7"/>
    </x:row>
    <x:row r="38" ht="22" customHeight="1">
      <x:c r="A38" s="7" t="str">
        <x:f>IF(G38="","",INDEX('Repeat Detail'!$H$6:$H$1005,$G38))</x:f>
      </x:c>
      <x:c r="B38" s="19" t="str">
        <x:f>IF(G38="","",INDEX('Repeat Detail'!$O$6:$O$1005,$G38))</x:f>
      </x:c>
      <x:c r="C38" s="21" t="str">
        <x:f>IF(G38="","",IF(INDEX('Repeat Detail'!$P$6:$P$1005,$G38)=0,"n.a.",B38/INDEX('Repeat Detail'!$P$6:$P$1005,$G38)))</x:f>
      </x:c>
      <x:c r="D38" s="19" t="str">
        <x:f>IF(G38="","",INDEX('Repeat Detail'!$Q$6:$Q$1005,$G38))</x:f>
      </x:c>
      <x:c r="E38" s="21" t="str">
        <x:f>IF(G38="","",IF(INDEX('Repeat Detail'!$R$6:$R$1005,$G38)=0,"n.a.",D38/INDEX('Repeat Detail'!$R$6:$R$1005,$G38)))</x:f>
      </x:c>
      <x:c r="F38" s="21" t="str">
        <x:f>IF(G38="","",IF(IF(AND(COUNTIF('Repeat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calls"),NA())=0,"n.a.",D38/IF(AND(COUNTIF('Repeat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38" s="7" t="str">
        <x:f>IF(32&gt;COUNTIF('Repeat Detail'!$A$6:$A$1005,"Topic"),"",MATCH("Topic",'Repeat Detail'!$A$6:$A$1005,0)+31)</x:f>
      </x:c>
      <x:c r="H38" s="7"/>
      <x:c r="I38" s="7"/>
      <x:c r="J38" s="7"/>
      <x:c r="K38" s="7"/>
      <x:c r="L38" s="7"/>
      <x:c r="M38" s="7"/>
      <x:c r="N38" s="7"/>
    </x:row>
    <x:row r="39" ht="22" customHeight="1">
      <x:c r="A39" s="7" t="str">
        <x:f>IF(G39="","",INDEX('Repeat Detail'!$H$6:$H$1005,$G39))</x:f>
      </x:c>
      <x:c r="B39" s="19" t="str">
        <x:f>IF(G39="","",INDEX('Repeat Detail'!$O$6:$O$1005,$G39))</x:f>
      </x:c>
      <x:c r="C39" s="21" t="str">
        <x:f>IF(G39="","",IF(INDEX('Repeat Detail'!$P$6:$P$1005,$G39)=0,"n.a.",B39/INDEX('Repeat Detail'!$P$6:$P$1005,$G39)))</x:f>
      </x:c>
      <x:c r="D39" s="19" t="str">
        <x:f>IF(G39="","",INDEX('Repeat Detail'!$Q$6:$Q$1005,$G39))</x:f>
      </x:c>
      <x:c r="E39" s="21" t="str">
        <x:f>IF(G39="","",IF(INDEX('Repeat Detail'!$R$6:$R$1005,$G39)=0,"n.a.",D39/INDEX('Repeat Detail'!$R$6:$R$1005,$G39)))</x:f>
      </x:c>
      <x:c r="F39" s="21" t="str">
        <x:f>IF(G39="","",IF(IF(AND(COUNTIF('Repeat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calls"),NA())=0,"n.a.",D39/IF(AND(COUNTIF('Repeat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39" s="7" t="str">
        <x:f>IF(33&gt;COUNTIF('Repeat Detail'!$A$6:$A$1005,"Topic"),"",MATCH("Topic",'Repeat Detail'!$A$6:$A$1005,0)+32)</x:f>
      </x:c>
      <x:c r="H39" s="7"/>
      <x:c r="I39" s="7"/>
      <x:c r="J39" s="7"/>
      <x:c r="K39" s="7"/>
      <x:c r="L39" s="7"/>
      <x:c r="M39" s="7"/>
      <x:c r="N39" s="7"/>
    </x:row>
    <x:row r="40" ht="22" customHeight="1">
      <x:c r="A40" s="7" t="str">
        <x:f>IF(G40="","",INDEX('Repeat Detail'!$H$6:$H$1005,$G40))</x:f>
      </x:c>
      <x:c r="B40" s="19" t="str">
        <x:f>IF(G40="","",INDEX('Repeat Detail'!$O$6:$O$1005,$G40))</x:f>
      </x:c>
      <x:c r="C40" s="21" t="str">
        <x:f>IF(G40="","",IF(INDEX('Repeat Detail'!$P$6:$P$1005,$G40)=0,"n.a.",B40/INDEX('Repeat Detail'!$P$6:$P$1005,$G40)))</x:f>
      </x:c>
      <x:c r="D40" s="19" t="str">
        <x:f>IF(G40="","",INDEX('Repeat Detail'!$Q$6:$Q$1005,$G40))</x:f>
      </x:c>
      <x:c r="E40" s="21" t="str">
        <x:f>IF(G40="","",IF(INDEX('Repeat Detail'!$R$6:$R$1005,$G40)=0,"n.a.",D40/INDEX('Repeat Detail'!$R$6:$R$1005,$G40)))</x:f>
      </x:c>
      <x:c r="F40" s="21" t="str">
        <x:f>IF(G40="","",IF(IF(AND(COUNTIF('Repeat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calls"),NA())=0,"n.a.",D40/IF(AND(COUNTIF('Repeat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40" s="7" t="str">
        <x:f>IF(34&gt;COUNTIF('Repeat Detail'!$A$6:$A$1005,"Topic"),"",MATCH("Topic",'Repeat Detail'!$A$6:$A$1005,0)+33)</x:f>
      </x:c>
      <x:c r="H40" s="7"/>
      <x:c r="I40" s="7"/>
      <x:c r="J40" s="7"/>
      <x:c r="K40" s="7"/>
      <x:c r="L40" s="7"/>
      <x:c r="M40" s="7"/>
      <x:c r="N40" s="7"/>
    </x:row>
    <x:row r="41" ht="22" customHeight="1">
      <x:c r="A41" s="7" t="str">
        <x:f>IF(G41="","",INDEX('Repeat Detail'!$H$6:$H$1005,$G41))</x:f>
      </x:c>
      <x:c r="B41" s="19" t="str">
        <x:f>IF(G41="","",INDEX('Repeat Detail'!$O$6:$O$1005,$G41))</x:f>
      </x:c>
      <x:c r="C41" s="21" t="str">
        <x:f>IF(G41="","",IF(INDEX('Repeat Detail'!$P$6:$P$1005,$G41)=0,"n.a.",B41/INDEX('Repeat Detail'!$P$6:$P$1005,$G41)))</x:f>
      </x:c>
      <x:c r="D41" s="19" t="str">
        <x:f>IF(G41="","",INDEX('Repeat Detail'!$Q$6:$Q$1005,$G41))</x:f>
      </x:c>
      <x:c r="E41" s="21" t="str">
        <x:f>IF(G41="","",IF(INDEX('Repeat Detail'!$R$6:$R$1005,$G41)=0,"n.a.",D41/INDEX('Repeat Detail'!$R$6:$R$1005,$G41)))</x:f>
      </x:c>
      <x:c r="F41" s="21" t="str">
        <x:f>IF(G41="","",IF(IF(AND(COUNTIF('Repeat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calls"),NA())=0,"n.a.",D41/IF(AND(COUNTIF('Repeat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41" s="7" t="str">
        <x:f>IF(35&gt;COUNTIF('Repeat Detail'!$A$6:$A$1005,"Topic"),"",MATCH("Topic",'Repeat Detail'!$A$6:$A$1005,0)+34)</x:f>
      </x:c>
      <x:c r="H41" s="7"/>
      <x:c r="I41" s="7"/>
      <x:c r="J41" s="7"/>
      <x:c r="K41" s="7"/>
      <x:c r="L41" s="7"/>
      <x:c r="M41" s="7"/>
      <x:c r="N41" s="7"/>
    </x:row>
    <x:row r="42" ht="22" customHeight="1">
      <x:c r="A42" s="7" t="str">
        <x:f>IF(G42="","",INDEX('Repeat Detail'!$H$6:$H$1005,$G42))</x:f>
      </x:c>
      <x:c r="B42" s="19" t="str">
        <x:f>IF(G42="","",INDEX('Repeat Detail'!$O$6:$O$1005,$G42))</x:f>
      </x:c>
      <x:c r="C42" s="21" t="str">
        <x:f>IF(G42="","",IF(INDEX('Repeat Detail'!$P$6:$P$1005,$G42)=0,"n.a.",B42/INDEX('Repeat Detail'!$P$6:$P$1005,$G42)))</x:f>
      </x:c>
      <x:c r="D42" s="19" t="str">
        <x:f>IF(G42="","",INDEX('Repeat Detail'!$Q$6:$Q$1005,$G42))</x:f>
      </x:c>
      <x:c r="E42" s="21" t="str">
        <x:f>IF(G42="","",IF(INDEX('Repeat Detail'!$R$6:$R$1005,$G42)=0,"n.a.",D42/INDEX('Repeat Detail'!$R$6:$R$1005,$G42)))</x:f>
      </x:c>
      <x:c r="F42" s="21" t="str">
        <x:f>IF(G42="","",IF(IF(AND(COUNTIF('Repeat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calls"),NA())=0,"n.a.",D42/IF(AND(COUNTIF('Repeat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42" s="7" t="str">
        <x:f>IF(36&gt;COUNTIF('Repeat Detail'!$A$6:$A$1005,"Topic"),"",MATCH("Topic",'Repeat Detail'!$A$6:$A$1005,0)+35)</x:f>
      </x:c>
      <x:c r="H42" s="7"/>
      <x:c r="I42" s="7"/>
      <x:c r="J42" s="7"/>
      <x:c r="K42" s="7"/>
      <x:c r="L42" s="7"/>
      <x:c r="M42" s="7"/>
      <x:c r="N42" s="7"/>
    </x:row>
    <x:row r="43" ht="22" customHeight="1">
      <x:c r="A43" s="7" t="str">
        <x:f>IF(G43="","",INDEX('Repeat Detail'!$H$6:$H$1005,$G43))</x:f>
      </x:c>
      <x:c r="B43" s="19" t="str">
        <x:f>IF(G43="","",INDEX('Repeat Detail'!$O$6:$O$1005,$G43))</x:f>
      </x:c>
      <x:c r="C43" s="21" t="str">
        <x:f>IF(G43="","",IF(INDEX('Repeat Detail'!$P$6:$P$1005,$G43)=0,"n.a.",B43/INDEX('Repeat Detail'!$P$6:$P$1005,$G43)))</x:f>
      </x:c>
      <x:c r="D43" s="19" t="str">
        <x:f>IF(G43="","",INDEX('Repeat Detail'!$Q$6:$Q$1005,$G43))</x:f>
      </x:c>
      <x:c r="E43" s="21" t="str">
        <x:f>IF(G43="","",IF(INDEX('Repeat Detail'!$R$6:$R$1005,$G43)=0,"n.a.",D43/INDEX('Repeat Detail'!$R$6:$R$1005,$G43)))</x:f>
      </x:c>
      <x:c r="F43" s="21" t="str">
        <x:f>IF(G43="","",IF(IF(AND(COUNTIF('Repeat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calls"),NA())=0,"n.a.",D43/IF(AND(COUNTIF('Repeat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43" s="7" t="str">
        <x:f>IF(37&gt;COUNTIF('Repeat Detail'!$A$6:$A$1005,"Topic"),"",MATCH("Topic",'Repeat Detail'!$A$6:$A$1005,0)+36)</x:f>
      </x:c>
      <x:c r="H43" s="7"/>
      <x:c r="I43" s="7"/>
      <x:c r="J43" s="7"/>
      <x:c r="K43" s="7"/>
      <x:c r="L43" s="7"/>
      <x:c r="M43" s="7"/>
      <x:c r="N43" s="7"/>
    </x:row>
    <x:row r="44" ht="22" customHeight="1">
      <x:c r="A44" s="7" t="str">
        <x:f>IF(G44="","",INDEX('Repeat Detail'!$H$6:$H$1005,$G44))</x:f>
      </x:c>
      <x:c r="B44" s="19" t="str">
        <x:f>IF(G44="","",INDEX('Repeat Detail'!$O$6:$O$1005,$G44))</x:f>
      </x:c>
      <x:c r="C44" s="21" t="str">
        <x:f>IF(G44="","",IF(INDEX('Repeat Detail'!$P$6:$P$1005,$G44)=0,"n.a.",B44/INDEX('Repeat Detail'!$P$6:$P$1005,$G44)))</x:f>
      </x:c>
      <x:c r="D44" s="19" t="str">
        <x:f>IF(G44="","",INDEX('Repeat Detail'!$Q$6:$Q$1005,$G44))</x:f>
      </x:c>
      <x:c r="E44" s="21" t="str">
        <x:f>IF(G44="","",IF(INDEX('Repeat Detail'!$R$6:$R$1005,$G44)=0,"n.a.",D44/INDEX('Repeat Detail'!$R$6:$R$1005,$G44)))</x:f>
      </x:c>
      <x:c r="F44" s="21" t="str">
        <x:f>IF(G44="","",IF(IF(AND(COUNTIF('Repeat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calls"),NA())=0,"n.a.",D44/IF(AND(COUNTIF('Repeat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44" s="7" t="str">
        <x:f>IF(38&gt;COUNTIF('Repeat Detail'!$A$6:$A$1005,"Topic"),"",MATCH("Topic",'Repeat Detail'!$A$6:$A$1005,0)+37)</x:f>
      </x:c>
      <x:c r="H44" s="7"/>
      <x:c r="I44" s="7"/>
      <x:c r="J44" s="7"/>
      <x:c r="K44" s="7"/>
      <x:c r="L44" s="7"/>
      <x:c r="M44" s="7"/>
      <x:c r="N44" s="7"/>
    </x:row>
    <x:row r="45" ht="22" customHeight="1">
      <x:c r="A45" s="7" t="str">
        <x:f>IF(G45="","",INDEX('Repeat Detail'!$H$6:$H$1005,$G45))</x:f>
      </x:c>
      <x:c r="B45" s="19" t="str">
        <x:f>IF(G45="","",INDEX('Repeat Detail'!$O$6:$O$1005,$G45))</x:f>
      </x:c>
      <x:c r="C45" s="21" t="str">
        <x:f>IF(G45="","",IF(INDEX('Repeat Detail'!$P$6:$P$1005,$G45)=0,"n.a.",B45/INDEX('Repeat Detail'!$P$6:$P$1005,$G45)))</x:f>
      </x:c>
      <x:c r="D45" s="19" t="str">
        <x:f>IF(G45="","",INDEX('Repeat Detail'!$Q$6:$Q$1005,$G45))</x:f>
      </x:c>
      <x:c r="E45" s="21" t="str">
        <x:f>IF(G45="","",IF(INDEX('Repeat Detail'!$R$6:$R$1005,$G45)=0,"n.a.",D45/INDEX('Repeat Detail'!$R$6:$R$1005,$G45)))</x:f>
      </x:c>
      <x:c r="F45" s="21" t="str">
        <x:f>IF(G45="","",IF(IF(AND(COUNTIF('Repeat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calls"),NA())=0,"n.a.",D45/IF(AND(COUNTIF('Repeat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45" s="7" t="str">
        <x:f>IF(39&gt;COUNTIF('Repeat Detail'!$A$6:$A$1005,"Topic"),"",MATCH("Topic",'Repeat Detail'!$A$6:$A$1005,0)+38)</x:f>
      </x:c>
      <x:c r="H45" s="7"/>
      <x:c r="I45" s="7"/>
      <x:c r="J45" s="7"/>
      <x:c r="K45" s="7"/>
      <x:c r="L45" s="7"/>
      <x:c r="M45" s="7"/>
      <x:c r="N45" s="7"/>
    </x:row>
    <x:row r="46">
      <x:c r="A46" t="str">
        <x:f>IF(G46="","",INDEX('Repeat Detail'!$H$6:$H$1005,$G46))</x:f>
      </x:c>
      <x:c r="B46" s="20" t="str">
        <x:f>IF(G46="","",INDEX('Repeat Detail'!$O$6:$O$1005,$G46))</x:f>
      </x:c>
      <x:c r="C46" s="22" t="str">
        <x:f>IF(G46="","",IF(INDEX('Repeat Detail'!$P$6:$P$1005,$G46)=0,"n.a.",B46/INDEX('Repeat Detail'!$P$6:$P$1005,$G46)))</x:f>
      </x:c>
      <x:c r="D46" s="20" t="str">
        <x:f>IF(G46="","",INDEX('Repeat Detail'!$Q$6:$Q$1005,$G46))</x:f>
      </x:c>
      <x:c r="E46" s="22" t="str">
        <x:f>IF(G46="","",IF(INDEX('Repeat Detail'!$R$6:$R$1005,$G46)=0,"n.a.",D46/INDEX('Repeat Detail'!$R$6:$R$1005,$G46)))</x:f>
      </x:c>
      <x:c r="F46" s="22" t="str">
        <x:f>IF(G46="","",IF(IF(AND(COUNTIF('Repeat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calls"),NA())=0,"n.a.",D46/IF(AND(COUNTIF('Repeat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46" t="str">
        <x:f>IF(40&gt;COUNTIF('Repeat Detail'!$A$6:$A$1005,"Topic"),"",MATCH("Topic",'Repeat Detail'!$A$6:$A$1005,0)+39)</x:f>
      </x:c>
    </x:row>
    <x:row r="47">
      <x:c r="A47" t="str">
        <x:f>IF(G47="","",INDEX('Repeat Detail'!$H$6:$H$1005,$G47))</x:f>
      </x:c>
      <x:c r="B47" s="20" t="str">
        <x:f>IF(G47="","",INDEX('Repeat Detail'!$O$6:$O$1005,$G47))</x:f>
      </x:c>
      <x:c r="C47" s="22" t="str">
        <x:f>IF(G47="","",IF(INDEX('Repeat Detail'!$P$6:$P$1005,$G47)=0,"n.a.",B47/INDEX('Repeat Detail'!$P$6:$P$1005,$G47)))</x:f>
      </x:c>
      <x:c r="D47" s="20" t="str">
        <x:f>IF(G47="","",INDEX('Repeat Detail'!$Q$6:$Q$1005,$G47))</x:f>
      </x:c>
      <x:c r="E47" s="22" t="str">
        <x:f>IF(G47="","",IF(INDEX('Repeat Detail'!$R$6:$R$1005,$G47)=0,"n.a.",D47/INDEX('Repeat Detail'!$R$6:$R$1005,$G47)))</x:f>
      </x:c>
      <x:c r="F47" s="22" t="str">
        <x:f>IF(G47="","",IF(IF(AND(COUNTIF('Repeat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calls"),NA())=0,"n.a.",D47/IF(AND(COUNTIF('Repeat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47" t="str">
        <x:f>IF(41&gt;COUNTIF('Repeat Detail'!$A$6:$A$1005,"Topic"),"",MATCH("Topic",'Repeat Detail'!$A$6:$A$1005,0)+40)</x:f>
      </x:c>
    </x:row>
    <x:row r="48">
      <x:c r="A48" t="str">
        <x:f>IF(G48="","",INDEX('Repeat Detail'!$H$6:$H$1005,$G48))</x:f>
      </x:c>
      <x:c r="B48" s="20" t="str">
        <x:f>IF(G48="","",INDEX('Repeat Detail'!$O$6:$O$1005,$G48))</x:f>
      </x:c>
      <x:c r="C48" s="22" t="str">
        <x:f>IF(G48="","",IF(INDEX('Repeat Detail'!$P$6:$P$1005,$G48)=0,"n.a.",B48/INDEX('Repeat Detail'!$P$6:$P$1005,$G48)))</x:f>
      </x:c>
      <x:c r="D48" s="20" t="str">
        <x:f>IF(G48="","",INDEX('Repeat Detail'!$Q$6:$Q$1005,$G48))</x:f>
      </x:c>
      <x:c r="E48" s="22" t="str">
        <x:f>IF(G48="","",IF(INDEX('Repeat Detail'!$R$6:$R$1005,$G48)=0,"n.a.",D48/INDEX('Repeat Detail'!$R$6:$R$1005,$G48)))</x:f>
      </x:c>
      <x:c r="F48" s="22" t="str">
        <x:f>IF(G48="","",IF(IF(AND(COUNTIF('Repeat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calls"),NA())=0,"n.a.",D48/IF(AND(COUNTIF('Repeat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48" t="str">
        <x:f>IF(42&gt;COUNTIF('Repeat Detail'!$A$6:$A$1005,"Topic"),"",MATCH("Topic",'Repeat Detail'!$A$6:$A$1005,0)+41)</x:f>
      </x:c>
    </x:row>
    <x:row r="49">
      <x:c r="A49" t="str">
        <x:f>IF(G49="","",INDEX('Repeat Detail'!$H$6:$H$1005,$G49))</x:f>
      </x:c>
      <x:c r="B49" s="20" t="str">
        <x:f>IF(G49="","",INDEX('Repeat Detail'!$O$6:$O$1005,$G49))</x:f>
      </x:c>
      <x:c r="C49" s="22" t="str">
        <x:f>IF(G49="","",IF(INDEX('Repeat Detail'!$P$6:$P$1005,$G49)=0,"n.a.",B49/INDEX('Repeat Detail'!$P$6:$P$1005,$G49)))</x:f>
      </x:c>
      <x:c r="D49" s="20" t="str">
        <x:f>IF(G49="","",INDEX('Repeat Detail'!$Q$6:$Q$1005,$G49))</x:f>
      </x:c>
      <x:c r="E49" s="22" t="str">
        <x:f>IF(G49="","",IF(INDEX('Repeat Detail'!$R$6:$R$1005,$G49)=0,"n.a.",D49/INDEX('Repeat Detail'!$R$6:$R$1005,$G49)))</x:f>
      </x:c>
      <x:c r="F49" s="22" t="str">
        <x:f>IF(G49="","",IF(IF(AND(COUNTIF('Repeat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calls"),NA())=0,"n.a.",D49/IF(AND(COUNTIF('Repeat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49" t="str">
        <x:f>IF(43&gt;COUNTIF('Repeat Detail'!$A$6:$A$1005,"Topic"),"",MATCH("Topic",'Repeat Detail'!$A$6:$A$1005,0)+42)</x:f>
      </x:c>
    </x:row>
    <x:row r="50">
      <x:c r="A50" t="str">
        <x:f>IF(G50="","",INDEX('Repeat Detail'!$H$6:$H$1005,$G50))</x:f>
      </x:c>
      <x:c r="B50" s="20" t="str">
        <x:f>IF(G50="","",INDEX('Repeat Detail'!$O$6:$O$1005,$G50))</x:f>
      </x:c>
      <x:c r="C50" s="22" t="str">
        <x:f>IF(G50="","",IF(INDEX('Repeat Detail'!$P$6:$P$1005,$G50)=0,"n.a.",B50/INDEX('Repeat Detail'!$P$6:$P$1005,$G50)))</x:f>
      </x:c>
      <x:c r="D50" s="20" t="str">
        <x:f>IF(G50="","",INDEX('Repeat Detail'!$Q$6:$Q$1005,$G50))</x:f>
      </x:c>
      <x:c r="E50" s="22" t="str">
        <x:f>IF(G50="","",IF(INDEX('Repeat Detail'!$R$6:$R$1005,$G50)=0,"n.a.",D50/INDEX('Repeat Detail'!$R$6:$R$1005,$G50)))</x:f>
      </x:c>
      <x:c r="F50" s="22" t="str">
        <x:f>IF(G50="","",IF(IF(AND(COUNTIF('Repeat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calls"),NA())=0,"n.a.",D50/IF(AND(COUNTIF('Repeat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50" t="str">
        <x:f>IF(44&gt;COUNTIF('Repeat Detail'!$A$6:$A$1005,"Topic"),"",MATCH("Topic",'Repeat Detail'!$A$6:$A$1005,0)+43)</x:f>
      </x:c>
    </x:row>
    <x:row r="51">
      <x:c r="A51" t="str">
        <x:f>IF(G51="","",INDEX('Repeat Detail'!$H$6:$H$1005,$G51))</x:f>
      </x:c>
      <x:c r="B51" s="20" t="str">
        <x:f>IF(G51="","",INDEX('Repeat Detail'!$O$6:$O$1005,$G51))</x:f>
      </x:c>
      <x:c r="C51" s="22" t="str">
        <x:f>IF(G51="","",IF(INDEX('Repeat Detail'!$P$6:$P$1005,$G51)=0,"n.a.",B51/INDEX('Repeat Detail'!$P$6:$P$1005,$G51)))</x:f>
      </x:c>
      <x:c r="D51" s="20" t="str">
        <x:f>IF(G51="","",INDEX('Repeat Detail'!$Q$6:$Q$1005,$G51))</x:f>
      </x:c>
      <x:c r="E51" s="22" t="str">
        <x:f>IF(G51="","",IF(INDEX('Repeat Detail'!$R$6:$R$1005,$G51)=0,"n.a.",D51/INDEX('Repeat Detail'!$R$6:$R$1005,$G51)))</x:f>
      </x:c>
      <x:c r="F51" s="22" t="str">
        <x:f>IF(G51="","",IF(IF(AND(COUNTIF('Repeat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calls"),NA())=0,"n.a.",D51/IF(AND(COUNTIF('Repeat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51" t="str">
        <x:f>IF(45&gt;COUNTIF('Repeat Detail'!$A$6:$A$1005,"Topic"),"",MATCH("Topic",'Repeat Detail'!$A$6:$A$1005,0)+44)</x:f>
      </x:c>
    </x:row>
    <x:row r="52">
      <x:c r="A52" t="str">
        <x:f>IF(G52="","",INDEX('Repeat Detail'!$H$6:$H$1005,$G52))</x:f>
      </x:c>
      <x:c r="B52" s="20" t="str">
        <x:f>IF(G52="","",INDEX('Repeat Detail'!$O$6:$O$1005,$G52))</x:f>
      </x:c>
      <x:c r="C52" s="22" t="str">
        <x:f>IF(G52="","",IF(INDEX('Repeat Detail'!$P$6:$P$1005,$G52)=0,"n.a.",B52/INDEX('Repeat Detail'!$P$6:$P$1005,$G52)))</x:f>
      </x:c>
      <x:c r="D52" s="20" t="str">
        <x:f>IF(G52="","",INDEX('Repeat Detail'!$Q$6:$Q$1005,$G52))</x:f>
      </x:c>
      <x:c r="E52" s="22" t="str">
        <x:f>IF(G52="","",IF(INDEX('Repeat Detail'!$R$6:$R$1005,$G52)=0,"n.a.",D52/INDEX('Repeat Detail'!$R$6:$R$1005,$G52)))</x:f>
      </x:c>
      <x:c r="F52" s="22" t="str">
        <x:f>IF(G52="","",IF(IF(AND(COUNTIF('Repeat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calls"),NA())=0,"n.a.",D52/IF(AND(COUNTIF('Repeat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52" t="str">
        <x:f>IF(46&gt;COUNTIF('Repeat Detail'!$A$6:$A$1005,"Topic"),"",MATCH("Topic",'Repeat Detail'!$A$6:$A$1005,0)+45)</x:f>
      </x:c>
    </x:row>
    <x:row r="53">
      <x:c r="A53" t="str">
        <x:f>IF(G53="","",INDEX('Repeat Detail'!$H$6:$H$1005,$G53))</x:f>
      </x:c>
      <x:c r="B53" s="20" t="str">
        <x:f>IF(G53="","",INDEX('Repeat Detail'!$O$6:$O$1005,$G53))</x:f>
      </x:c>
      <x:c r="C53" s="22" t="str">
        <x:f>IF(G53="","",IF(INDEX('Repeat Detail'!$P$6:$P$1005,$G53)=0,"n.a.",B53/INDEX('Repeat Detail'!$P$6:$P$1005,$G53)))</x:f>
      </x:c>
      <x:c r="D53" s="20" t="str">
        <x:f>IF(G53="","",INDEX('Repeat Detail'!$Q$6:$Q$1005,$G53))</x:f>
      </x:c>
      <x:c r="E53" s="22" t="str">
        <x:f>IF(G53="","",IF(INDEX('Repeat Detail'!$R$6:$R$1005,$G53)=0,"n.a.",D53/INDEX('Repeat Detail'!$R$6:$R$1005,$G53)))</x:f>
      </x:c>
      <x:c r="F53" s="22" t="str">
        <x:f>IF(G53="","",IF(IF(AND(COUNTIF('Repeat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calls"),NA())=0,"n.a.",D53/IF(AND(COUNTIF('Repeat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53" t="str">
        <x:f>IF(47&gt;COUNTIF('Repeat Detail'!$A$6:$A$1005,"Topic"),"",MATCH("Topic",'Repeat Detail'!$A$6:$A$1005,0)+46)</x:f>
      </x:c>
    </x:row>
    <x:row r="54">
      <x:c r="A54" t="str">
        <x:f>IF(G54="","",INDEX('Repeat Detail'!$H$6:$H$1005,$G54))</x:f>
      </x:c>
      <x:c r="B54" s="20" t="str">
        <x:f>IF(G54="","",INDEX('Repeat Detail'!$O$6:$O$1005,$G54))</x:f>
      </x:c>
      <x:c r="C54" s="22" t="str">
        <x:f>IF(G54="","",IF(INDEX('Repeat Detail'!$P$6:$P$1005,$G54)=0,"n.a.",B54/INDEX('Repeat Detail'!$P$6:$P$1005,$G54)))</x:f>
      </x:c>
      <x:c r="D54" s="20" t="str">
        <x:f>IF(G54="","",INDEX('Repeat Detail'!$Q$6:$Q$1005,$G54))</x:f>
      </x:c>
      <x:c r="E54" s="22" t="str">
        <x:f>IF(G54="","",IF(INDEX('Repeat Detail'!$R$6:$R$1005,$G54)=0,"n.a.",D54/INDEX('Repeat Detail'!$R$6:$R$1005,$G54)))</x:f>
      </x:c>
      <x:c r="F54" s="22" t="str">
        <x:f>IF(G54="","",IF(IF(AND(COUNTIF('Repeat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calls"),NA())=0,"n.a.",D54/IF(AND(COUNTIF('Repeat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54" t="str">
        <x:f>IF(48&gt;COUNTIF('Repeat Detail'!$A$6:$A$1005,"Topic"),"",MATCH("Topic",'Repeat Detail'!$A$6:$A$1005,0)+47)</x:f>
      </x:c>
    </x:row>
    <x:row r="55">
      <x:c r="A55" t="str">
        <x:f>IF(G55="","",INDEX('Repeat Detail'!$H$6:$H$1005,$G55))</x:f>
      </x:c>
      <x:c r="B55" s="20" t="str">
        <x:f>IF(G55="","",INDEX('Repeat Detail'!$O$6:$O$1005,$G55))</x:f>
      </x:c>
      <x:c r="C55" s="22" t="str">
        <x:f>IF(G55="","",IF(INDEX('Repeat Detail'!$P$6:$P$1005,$G55)=0,"n.a.",B55/INDEX('Repeat Detail'!$P$6:$P$1005,$G55)))</x:f>
      </x:c>
      <x:c r="D55" s="20" t="str">
        <x:f>IF(G55="","",INDEX('Repeat Detail'!$Q$6:$Q$1005,$G55))</x:f>
      </x:c>
      <x:c r="E55" s="22" t="str">
        <x:f>IF(G55="","",IF(INDEX('Repeat Detail'!$R$6:$R$1005,$G55)=0,"n.a.",D55/INDEX('Repeat Detail'!$R$6:$R$1005,$G55)))</x:f>
      </x:c>
      <x:c r="F55" s="22" t="str">
        <x:f>IF(G55="","",IF(IF(AND(COUNTIF('Repeat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calls"),NA())=0,"n.a.",D55/IF(AND(COUNTIF('Repeat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55" t="str">
        <x:f>IF(49&gt;COUNTIF('Repeat Detail'!$A$6:$A$1005,"Topic"),"",MATCH("Topic",'Repeat Detail'!$A$6:$A$1005,0)+48)</x:f>
      </x:c>
    </x:row>
    <x:row r="56">
      <x:c r="A56" t="str">
        <x:f>IF(G56="","",INDEX('Repeat Detail'!$H$6:$H$1005,$G56))</x:f>
      </x:c>
      <x:c r="B56" s="20" t="str">
        <x:f>IF(G56="","",INDEX('Repeat Detail'!$O$6:$O$1005,$G56))</x:f>
      </x:c>
      <x:c r="C56" s="22" t="str">
        <x:f>IF(G56="","",IF(INDEX('Repeat Detail'!$P$6:$P$1005,$G56)=0,"n.a.",B56/INDEX('Repeat Detail'!$P$6:$P$1005,$G56)))</x:f>
      </x:c>
      <x:c r="D56" s="20" t="str">
        <x:f>IF(G56="","",INDEX('Repeat Detail'!$Q$6:$Q$1005,$G56))</x:f>
      </x:c>
      <x:c r="E56" s="22" t="str">
        <x:f>IF(G56="","",IF(INDEX('Repeat Detail'!$R$6:$R$1005,$G56)=0,"n.a.",D56/INDEX('Repeat Detail'!$R$6:$R$1005,$G56)))</x:f>
      </x:c>
      <x:c r="F56" s="22" t="str">
        <x:f>IF(G56="","",IF(IF(AND(COUNTIF('Repeat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calls"),NA())=0,"n.a.",D56/IF(AND(COUNTIF('Repeat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56" t="str">
        <x:f>IF(50&gt;COUNTIF('Repeat Detail'!$A$6:$A$1005,"Topic"),"",MATCH("Topic",'Repeat Detail'!$A$6:$A$1005,0)+49)</x:f>
      </x:c>
    </x:row>
    <x:row r="57">
      <x:c r="A57" t="str">
        <x:f>IF(G57="","",INDEX('Repeat Detail'!$H$6:$H$1005,$G57))</x:f>
      </x:c>
      <x:c r="B57" s="20" t="str">
        <x:f>IF(G57="","",INDEX('Repeat Detail'!$O$6:$O$1005,$G57))</x:f>
      </x:c>
      <x:c r="C57" s="22" t="str">
        <x:f>IF(G57="","",IF(INDEX('Repeat Detail'!$P$6:$P$1005,$G57)=0,"n.a.",B57/INDEX('Repeat Detail'!$P$6:$P$1005,$G57)))</x:f>
      </x:c>
      <x:c r="D57" s="20" t="str">
        <x:f>IF(G57="","",INDEX('Repeat Detail'!$Q$6:$Q$1005,$G57))</x:f>
      </x:c>
      <x:c r="E57" s="22" t="str">
        <x:f>IF(G57="","",IF(INDEX('Repeat Detail'!$R$6:$R$1005,$G57)=0,"n.a.",D57/INDEX('Repeat Detail'!$R$6:$R$1005,$G57)))</x:f>
      </x:c>
      <x:c r="F57" s="22" t="str">
        <x:f>IF(G57="","",IF(IF(AND(COUNTIF('Repeat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calls"),NA())=0,"n.a.",D57/IF(AND(COUNTIF('Repeat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57" t="str">
        <x:f>IF(51&gt;COUNTIF('Repeat Detail'!$A$6:$A$1005,"Topic"),"",MATCH("Topic",'Repeat Detail'!$A$6:$A$1005,0)+50)</x:f>
      </x:c>
    </x:row>
    <x:row r="58">
      <x:c r="A58" t="str">
        <x:f>IF(G58="","",INDEX('Repeat Detail'!$H$6:$H$1005,$G58))</x:f>
      </x:c>
      <x:c r="B58" s="20" t="str">
        <x:f>IF(G58="","",INDEX('Repeat Detail'!$O$6:$O$1005,$G58))</x:f>
      </x:c>
      <x:c r="C58" s="22" t="str">
        <x:f>IF(G58="","",IF(INDEX('Repeat Detail'!$P$6:$P$1005,$G58)=0,"n.a.",B58/INDEX('Repeat Detail'!$P$6:$P$1005,$G58)))</x:f>
      </x:c>
      <x:c r="D58" s="20" t="str">
        <x:f>IF(G58="","",INDEX('Repeat Detail'!$Q$6:$Q$1005,$G58))</x:f>
      </x:c>
      <x:c r="E58" s="22" t="str">
        <x:f>IF(G58="","",IF(INDEX('Repeat Detail'!$R$6:$R$1005,$G58)=0,"n.a.",D58/INDEX('Repeat Detail'!$R$6:$R$1005,$G58)))</x:f>
      </x:c>
      <x:c r="F58" s="22" t="str">
        <x:f>IF(G58="","",IF(IF(AND(COUNTIF('Repeat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calls"),NA())=0,"n.a.",D58/IF(AND(COUNTIF('Repeat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58" t="str">
        <x:f>IF(52&gt;COUNTIF('Repeat Detail'!$A$6:$A$1005,"Topic"),"",MATCH("Topic",'Repeat Detail'!$A$6:$A$1005,0)+51)</x:f>
      </x:c>
    </x:row>
    <x:row r="59">
      <x:c r="A59" t="str">
        <x:f>IF(G59="","",INDEX('Repeat Detail'!$H$6:$H$1005,$G59))</x:f>
      </x:c>
      <x:c r="B59" s="20" t="str">
        <x:f>IF(G59="","",INDEX('Repeat Detail'!$O$6:$O$1005,$G59))</x:f>
      </x:c>
      <x:c r="C59" s="22" t="str">
        <x:f>IF(G59="","",IF(INDEX('Repeat Detail'!$P$6:$P$1005,$G59)=0,"n.a.",B59/INDEX('Repeat Detail'!$P$6:$P$1005,$G59)))</x:f>
      </x:c>
      <x:c r="D59" s="20" t="str">
        <x:f>IF(G59="","",INDEX('Repeat Detail'!$Q$6:$Q$1005,$G59))</x:f>
      </x:c>
      <x:c r="E59" s="22" t="str">
        <x:f>IF(G59="","",IF(INDEX('Repeat Detail'!$R$6:$R$1005,$G59)=0,"n.a.",D59/INDEX('Repeat Detail'!$R$6:$R$1005,$G59)))</x:f>
      </x:c>
      <x:c r="F59" s="22" t="str">
        <x:f>IF(G59="","",IF(IF(AND(COUNTIF('Repeat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calls"),NA())=0,"n.a.",D59/IF(AND(COUNTIF('Repeat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59" t="str">
        <x:f>IF(53&gt;COUNTIF('Repeat Detail'!$A$6:$A$1005,"Topic"),"",MATCH("Topic",'Repeat Detail'!$A$6:$A$1005,0)+52)</x:f>
      </x:c>
    </x:row>
    <x:row r="60">
      <x:c r="A60" t="str">
        <x:f>IF(G60="","",INDEX('Repeat Detail'!$H$6:$H$1005,$G60))</x:f>
      </x:c>
      <x:c r="B60" s="20" t="str">
        <x:f>IF(G60="","",INDEX('Repeat Detail'!$O$6:$O$1005,$G60))</x:f>
      </x:c>
      <x:c r="C60" s="22" t="str">
        <x:f>IF(G60="","",IF(INDEX('Repeat Detail'!$P$6:$P$1005,$G60)=0,"n.a.",B60/INDEX('Repeat Detail'!$P$6:$P$1005,$G60)))</x:f>
      </x:c>
      <x:c r="D60" s="20" t="str">
        <x:f>IF(G60="","",INDEX('Repeat Detail'!$Q$6:$Q$1005,$G60))</x:f>
      </x:c>
      <x:c r="E60" s="22" t="str">
        <x:f>IF(G60="","",IF(INDEX('Repeat Detail'!$R$6:$R$1005,$G60)=0,"n.a.",D60/INDEX('Repeat Detail'!$R$6:$R$1005,$G60)))</x:f>
      </x:c>
      <x:c r="F60" s="22" t="str">
        <x:f>IF(G60="","",IF(IF(AND(COUNTIF('Repeat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calls"),NA())=0,"n.a.",D60/IF(AND(COUNTIF('Repeat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60" t="str">
        <x:f>IF(54&gt;COUNTIF('Repeat Detail'!$A$6:$A$1005,"Topic"),"",MATCH("Topic",'Repeat Detail'!$A$6:$A$1005,0)+53)</x:f>
      </x:c>
    </x:row>
    <x:row r="61">
      <x:c r="A61" t="str">
        <x:f>IF(G61="","",INDEX('Repeat Detail'!$H$6:$H$1005,$G61))</x:f>
      </x:c>
      <x:c r="B61" s="20" t="str">
        <x:f>IF(G61="","",INDEX('Repeat Detail'!$O$6:$O$1005,$G61))</x:f>
      </x:c>
      <x:c r="C61" s="22" t="str">
        <x:f>IF(G61="","",IF(INDEX('Repeat Detail'!$P$6:$P$1005,$G61)=0,"n.a.",B61/INDEX('Repeat Detail'!$P$6:$P$1005,$G61)))</x:f>
      </x:c>
      <x:c r="D61" s="20" t="str">
        <x:f>IF(G61="","",INDEX('Repeat Detail'!$Q$6:$Q$1005,$G61))</x:f>
      </x:c>
      <x:c r="E61" s="22" t="str">
        <x:f>IF(G61="","",IF(INDEX('Repeat Detail'!$R$6:$R$1005,$G61)=0,"n.a.",D61/INDEX('Repeat Detail'!$R$6:$R$1005,$G61)))</x:f>
      </x:c>
      <x:c r="F61" s="22" t="str">
        <x:f>IF(G61="","",IF(IF(AND(COUNTIF('Repeat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calls"),NA())=0,"n.a.",D61/IF(AND(COUNTIF('Repeat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61" t="str">
        <x:f>IF(55&gt;COUNTIF('Repeat Detail'!$A$6:$A$1005,"Topic"),"",MATCH("Topic",'Repeat Detail'!$A$6:$A$1005,0)+54)</x:f>
      </x:c>
    </x:row>
    <x:row r="62">
      <x:c r="A62" t="str">
        <x:f>IF(G62="","",INDEX('Repeat Detail'!$H$6:$H$1005,$G62))</x:f>
      </x:c>
      <x:c r="B62" s="20" t="str">
        <x:f>IF(G62="","",INDEX('Repeat Detail'!$O$6:$O$1005,$G62))</x:f>
      </x:c>
      <x:c r="C62" s="22" t="str">
        <x:f>IF(G62="","",IF(INDEX('Repeat Detail'!$P$6:$P$1005,$G62)=0,"n.a.",B62/INDEX('Repeat Detail'!$P$6:$P$1005,$G62)))</x:f>
      </x:c>
      <x:c r="D62" s="20" t="str">
        <x:f>IF(G62="","",INDEX('Repeat Detail'!$Q$6:$Q$1005,$G62))</x:f>
      </x:c>
      <x:c r="E62" s="22" t="str">
        <x:f>IF(G62="","",IF(INDEX('Repeat Detail'!$R$6:$R$1005,$G62)=0,"n.a.",D62/INDEX('Repeat Detail'!$R$6:$R$1005,$G62)))</x:f>
      </x:c>
      <x:c r="F62" s="22" t="str">
        <x:f>IF(G62="","",IF(IF(AND(COUNTIF('Repeat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calls"),NA())=0,"n.a.",D62/IF(AND(COUNTIF('Repeat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62" t="str">
        <x:f>IF(56&gt;COUNTIF('Repeat Detail'!$A$6:$A$1005,"Topic"),"",MATCH("Topic",'Repeat Detail'!$A$6:$A$1005,0)+55)</x:f>
      </x:c>
    </x:row>
    <x:row r="63">
      <x:c r="A63" t="str">
        <x:f>IF(G63="","",INDEX('Repeat Detail'!$H$6:$H$1005,$G63))</x:f>
      </x:c>
      <x:c r="B63" s="20" t="str">
        <x:f>IF(G63="","",INDEX('Repeat Detail'!$O$6:$O$1005,$G63))</x:f>
      </x:c>
      <x:c r="C63" s="22" t="str">
        <x:f>IF(G63="","",IF(INDEX('Repeat Detail'!$P$6:$P$1005,$G63)=0,"n.a.",B63/INDEX('Repeat Detail'!$P$6:$P$1005,$G63)))</x:f>
      </x:c>
      <x:c r="D63" s="20" t="str">
        <x:f>IF(G63="","",INDEX('Repeat Detail'!$Q$6:$Q$1005,$G63))</x:f>
      </x:c>
      <x:c r="E63" s="22" t="str">
        <x:f>IF(G63="","",IF(INDEX('Repeat Detail'!$R$6:$R$1005,$G63)=0,"n.a.",D63/INDEX('Repeat Detail'!$R$6:$R$1005,$G63)))</x:f>
      </x:c>
      <x:c r="F63" s="22" t="str">
        <x:f>IF(G63="","",IF(IF(AND(COUNTIF('Repeat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calls"),NA())=0,"n.a.",D63/IF(AND(COUNTIF('Repeat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63" t="str">
        <x:f>IF(57&gt;COUNTIF('Repeat Detail'!$A$6:$A$1005,"Topic"),"",MATCH("Topic",'Repeat Detail'!$A$6:$A$1005,0)+56)</x:f>
      </x:c>
    </x:row>
    <x:row r="64">
      <x:c r="A64" t="str">
        <x:f>IF(G64="","",INDEX('Repeat Detail'!$H$6:$H$1005,$G64))</x:f>
      </x:c>
      <x:c r="B64" s="20" t="str">
        <x:f>IF(G64="","",INDEX('Repeat Detail'!$O$6:$O$1005,$G64))</x:f>
      </x:c>
      <x:c r="C64" s="22" t="str">
        <x:f>IF(G64="","",IF(INDEX('Repeat Detail'!$P$6:$P$1005,$G64)=0,"n.a.",B64/INDEX('Repeat Detail'!$P$6:$P$1005,$G64)))</x:f>
      </x:c>
      <x:c r="D64" s="20" t="str">
        <x:f>IF(G64="","",INDEX('Repeat Detail'!$Q$6:$Q$1005,$G64))</x:f>
      </x:c>
      <x:c r="E64" s="22" t="str">
        <x:f>IF(G64="","",IF(INDEX('Repeat Detail'!$R$6:$R$1005,$G64)=0,"n.a.",D64/INDEX('Repeat Detail'!$R$6:$R$1005,$G64)))</x:f>
      </x:c>
      <x:c r="F64" s="22" t="str">
        <x:f>IF(G64="","",IF(IF(AND(COUNTIF('Repeat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calls"),NA())=0,"n.a.",D64/IF(AND(COUNTIF('Repeat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64" t="str">
        <x:f>IF(58&gt;COUNTIF('Repeat Detail'!$A$6:$A$1005,"Topic"),"",MATCH("Topic",'Repeat Detail'!$A$6:$A$1005,0)+57)</x:f>
      </x:c>
    </x:row>
    <x:row r="65">
      <x:c r="A65" t="str">
        <x:f>IF(G65="","",INDEX('Repeat Detail'!$H$6:$H$1005,$G65))</x:f>
      </x:c>
      <x:c r="B65" s="20" t="str">
        <x:f>IF(G65="","",INDEX('Repeat Detail'!$O$6:$O$1005,$G65))</x:f>
      </x:c>
      <x:c r="C65" s="22" t="str">
        <x:f>IF(G65="","",IF(INDEX('Repeat Detail'!$P$6:$P$1005,$G65)=0,"n.a.",B65/INDEX('Repeat Detail'!$P$6:$P$1005,$G65)))</x:f>
      </x:c>
      <x:c r="D65" s="20" t="str">
        <x:f>IF(G65="","",INDEX('Repeat Detail'!$Q$6:$Q$1005,$G65))</x:f>
      </x:c>
      <x:c r="E65" s="22" t="str">
        <x:f>IF(G65="","",IF(INDEX('Repeat Detail'!$R$6:$R$1005,$G65)=0,"n.a.",D65/INDEX('Repeat Detail'!$R$6:$R$1005,$G65)))</x:f>
      </x:c>
      <x:c r="F65" s="22" t="str">
        <x:f>IF(G65="","",IF(IF(AND(COUNTIF('Repeat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calls"),NA())=0,"n.a.",D65/IF(AND(COUNTIF('Repeat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65" t="str">
        <x:f>IF(59&gt;COUNTIF('Repeat Detail'!$A$6:$A$1005,"Topic"),"",MATCH("Topic",'Repeat Detail'!$A$6:$A$1005,0)+58)</x:f>
      </x:c>
    </x:row>
    <x:row r="66">
      <x:c r="A66" t="str">
        <x:f>IF(G66="","",INDEX('Repeat Detail'!$H$6:$H$1005,$G66))</x:f>
      </x:c>
      <x:c r="B66" s="20" t="str">
        <x:f>IF(G66="","",INDEX('Repeat Detail'!$O$6:$O$1005,$G66))</x:f>
      </x:c>
      <x:c r="C66" s="22" t="str">
        <x:f>IF(G66="","",IF(INDEX('Repeat Detail'!$P$6:$P$1005,$G66)=0,"n.a.",B66/INDEX('Repeat Detail'!$P$6:$P$1005,$G66)))</x:f>
      </x:c>
      <x:c r="D66" s="20" t="str">
        <x:f>IF(G66="","",INDEX('Repeat Detail'!$Q$6:$Q$1005,$G66))</x:f>
      </x:c>
      <x:c r="E66" s="22" t="str">
        <x:f>IF(G66="","",IF(INDEX('Repeat Detail'!$R$6:$R$1005,$G66)=0,"n.a.",D66/INDEX('Repeat Detail'!$R$6:$R$1005,$G66)))</x:f>
      </x:c>
      <x:c r="F66" s="22" t="str">
        <x:f>IF(G66="","",IF(IF(AND(COUNTIF('Repeat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calls"),NA())=0,"n.a.",D66/IF(AND(COUNTIF('Repeat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66" t="str">
        <x:f>IF(60&gt;COUNTIF('Repeat Detail'!$A$6:$A$1005,"Topic"),"",MATCH("Topic",'Repeat Detail'!$A$6:$A$1005,0)+59)</x:f>
      </x:c>
    </x:row>
    <x:row r="67">
      <x:c r="A67" t="str">
        <x:f>IF(G67="","",INDEX('Repeat Detail'!$H$6:$H$1005,$G67))</x:f>
      </x:c>
      <x:c r="B67" s="20" t="str">
        <x:f>IF(G67="","",INDEX('Repeat Detail'!$O$6:$O$1005,$G67))</x:f>
      </x:c>
      <x:c r="C67" s="22" t="str">
        <x:f>IF(G67="","",IF(INDEX('Repeat Detail'!$P$6:$P$1005,$G67)=0,"n.a.",B67/INDEX('Repeat Detail'!$P$6:$P$1005,$G67)))</x:f>
      </x:c>
      <x:c r="D67" s="20" t="str">
        <x:f>IF(G67="","",INDEX('Repeat Detail'!$Q$6:$Q$1005,$G67))</x:f>
      </x:c>
      <x:c r="E67" s="22" t="str">
        <x:f>IF(G67="","",IF(INDEX('Repeat Detail'!$R$6:$R$1005,$G67)=0,"n.a.",D67/INDEX('Repeat Detail'!$R$6:$R$1005,$G67)))</x:f>
      </x:c>
      <x:c r="F67" s="22" t="str">
        <x:f>IF(G67="","",IF(IF(AND(COUNTIF('Repeat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calls"),NA())=0,"n.a.",D67/IF(AND(COUNTIF('Repeat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67" t="str">
        <x:f>IF(61&gt;COUNTIF('Repeat Detail'!$A$6:$A$1005,"Topic"),"",MATCH("Topic",'Repeat Detail'!$A$6:$A$1005,0)+60)</x:f>
      </x:c>
    </x:row>
    <x:row r="68">
      <x:c r="A68" t="str">
        <x:f>IF(G68="","",INDEX('Repeat Detail'!$H$6:$H$1005,$G68))</x:f>
      </x:c>
      <x:c r="B68" s="20" t="str">
        <x:f>IF(G68="","",INDEX('Repeat Detail'!$O$6:$O$1005,$G68))</x:f>
      </x:c>
      <x:c r="C68" s="22" t="str">
        <x:f>IF(G68="","",IF(INDEX('Repeat Detail'!$P$6:$P$1005,$G68)=0,"n.a.",B68/INDEX('Repeat Detail'!$P$6:$P$1005,$G68)))</x:f>
      </x:c>
      <x:c r="D68" s="20" t="str">
        <x:f>IF(G68="","",INDEX('Repeat Detail'!$Q$6:$Q$1005,$G68))</x:f>
      </x:c>
      <x:c r="E68" s="22" t="str">
        <x:f>IF(G68="","",IF(INDEX('Repeat Detail'!$R$6:$R$1005,$G68)=0,"n.a.",D68/INDEX('Repeat Detail'!$R$6:$R$1005,$G68)))</x:f>
      </x:c>
      <x:c r="F68" s="22" t="str">
        <x:f>IF(G68="","",IF(IF(AND(COUNTIF('Repeat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calls"),NA())=0,"n.a.",D68/IF(AND(COUNTIF('Repeat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68" t="str">
        <x:f>IF(62&gt;COUNTIF('Repeat Detail'!$A$6:$A$1005,"Topic"),"",MATCH("Topic",'Repeat Detail'!$A$6:$A$1005,0)+61)</x:f>
      </x:c>
    </x:row>
    <x:row r="69">
      <x:c r="A69" t="str">
        <x:f>IF(G69="","",INDEX('Repeat Detail'!$H$6:$H$1005,$G69))</x:f>
      </x:c>
      <x:c r="B69" s="20" t="str">
        <x:f>IF(G69="","",INDEX('Repeat Detail'!$O$6:$O$1005,$G69))</x:f>
      </x:c>
      <x:c r="C69" s="22" t="str">
        <x:f>IF(G69="","",IF(INDEX('Repeat Detail'!$P$6:$P$1005,$G69)=0,"n.a.",B69/INDEX('Repeat Detail'!$P$6:$P$1005,$G69)))</x:f>
      </x:c>
      <x:c r="D69" s="20" t="str">
        <x:f>IF(G69="","",INDEX('Repeat Detail'!$Q$6:$Q$1005,$G69))</x:f>
      </x:c>
      <x:c r="E69" s="22" t="str">
        <x:f>IF(G69="","",IF(INDEX('Repeat Detail'!$R$6:$R$1005,$G69)=0,"n.a.",D69/INDEX('Repeat Detail'!$R$6:$R$1005,$G69)))</x:f>
      </x:c>
      <x:c r="F69" s="22" t="str">
        <x:f>IF(G69="","",IF(IF(AND(COUNTIF('Repeat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calls"),NA())=0,"n.a.",D69/IF(AND(COUNTIF('Repeat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69" t="str">
        <x:f>IF(63&gt;COUNTIF('Repeat Detail'!$A$6:$A$1005,"Topic"),"",MATCH("Topic",'Repeat Detail'!$A$6:$A$1005,0)+62)</x:f>
      </x:c>
    </x:row>
    <x:row r="70">
      <x:c r="A70" t="str">
        <x:f>IF(G70="","",INDEX('Repeat Detail'!$H$6:$H$1005,$G70))</x:f>
      </x:c>
      <x:c r="B70" s="20" t="str">
        <x:f>IF(G70="","",INDEX('Repeat Detail'!$O$6:$O$1005,$G70))</x:f>
      </x:c>
      <x:c r="C70" s="22" t="str">
        <x:f>IF(G70="","",IF(INDEX('Repeat Detail'!$P$6:$P$1005,$G70)=0,"n.a.",B70/INDEX('Repeat Detail'!$P$6:$P$1005,$G70)))</x:f>
      </x:c>
      <x:c r="D70" s="20" t="str">
        <x:f>IF(G70="","",INDEX('Repeat Detail'!$Q$6:$Q$1005,$G70))</x:f>
      </x:c>
      <x:c r="E70" s="22" t="str">
        <x:f>IF(G70="","",IF(INDEX('Repeat Detail'!$R$6:$R$1005,$G70)=0,"n.a.",D70/INDEX('Repeat Detail'!$R$6:$R$1005,$G70)))</x:f>
      </x:c>
      <x:c r="F70" s="22" t="str">
        <x:f>IF(G70="","",IF(IF(AND(COUNTIF('Repeat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70" t="str">
        <x:f>IF(64&gt;COUNTIF('Repeat Detail'!$A$6:$A$1005,"Topic"),"",MATCH("Topic",'Repeat Detail'!$A$6:$A$1005,0)+63)</x:f>
      </x:c>
    </x:row>
    <x:row r="71">
      <x:c r="A71" t="str">
        <x:f>IF(G71="","",INDEX('Repeat Detail'!$H$6:$H$1005,$G71))</x:f>
      </x:c>
      <x:c r="B71" s="20" t="str">
        <x:f>IF(G71="","",INDEX('Repeat Detail'!$O$6:$O$1005,$G71))</x:f>
      </x:c>
      <x:c r="C71" s="22" t="str">
        <x:f>IF(G71="","",IF(INDEX('Repeat Detail'!$P$6:$P$1005,$G71)=0,"n.a.",B71/INDEX('Repeat Detail'!$P$6:$P$1005,$G71)))</x:f>
      </x:c>
      <x:c r="D71" s="20" t="str">
        <x:f>IF(G71="","",INDEX('Repeat Detail'!$Q$6:$Q$1005,$G71))</x:f>
      </x:c>
      <x:c r="E71" s="22" t="str">
        <x:f>IF(G71="","",IF(INDEX('Repeat Detail'!$R$6:$R$1005,$G71)=0,"n.a.",D71/INDEX('Repeat Detail'!$R$6:$R$1005,$G71)))</x:f>
      </x:c>
      <x:c r="F71" s="22" t="str">
        <x:f>IF(G71="","",IF(IF(AND(COUNTIF('Repeat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71" t="str">
        <x:f>IF(65&gt;COUNTIF('Repeat Detail'!$A$6:$A$1005,"Topic"),"",MATCH("Topic",'Repeat Detail'!$A$6:$A$1005,0)+64)</x:f>
      </x:c>
    </x:row>
    <x:row r="72">
      <x:c r="A72" t="str">
        <x:f>IF(G72="","",INDEX('Repeat Detail'!$H$6:$H$1005,$G72))</x:f>
      </x:c>
      <x:c r="B72" s="20" t="str">
        <x:f>IF(G72="","",INDEX('Repeat Detail'!$O$6:$O$1005,$G72))</x:f>
      </x:c>
      <x:c r="C72" s="22" t="str">
        <x:f>IF(G72="","",IF(INDEX('Repeat Detail'!$P$6:$P$1005,$G72)=0,"n.a.",B72/INDEX('Repeat Detail'!$P$6:$P$1005,$G72)))</x:f>
      </x:c>
      <x:c r="D72" s="20" t="str">
        <x:f>IF(G72="","",INDEX('Repeat Detail'!$Q$6:$Q$1005,$G72))</x:f>
      </x:c>
      <x:c r="E72" s="22" t="str">
        <x:f>IF(G72="","",IF(INDEX('Repeat Detail'!$R$6:$R$1005,$G72)=0,"n.a.",D72/INDEX('Repeat Detail'!$R$6:$R$1005,$G72)))</x:f>
      </x:c>
      <x:c r="F72" s="22" t="str">
        <x:f>IF(G72="","",IF(IF(AND(COUNTIF('Repeat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72" t="str">
        <x:f>IF(66&gt;COUNTIF('Repeat Detail'!$A$6:$A$1005,"Topic"),"",MATCH("Topic",'Repeat Detail'!$A$6:$A$1005,0)+65)</x:f>
      </x:c>
    </x:row>
    <x:row r="73">
      <x:c r="A73" t="str">
        <x:f>IF(G73="","",INDEX('Repeat Detail'!$H$6:$H$1005,$G73))</x:f>
      </x:c>
      <x:c r="B73" s="20" t="str">
        <x:f>IF(G73="","",INDEX('Repeat Detail'!$O$6:$O$1005,$G73))</x:f>
      </x:c>
      <x:c r="C73" s="22" t="str">
        <x:f>IF(G73="","",IF(INDEX('Repeat Detail'!$P$6:$P$1005,$G73)=0,"n.a.",B73/INDEX('Repeat Detail'!$P$6:$P$1005,$G73)))</x:f>
      </x:c>
      <x:c r="D73" s="20" t="str">
        <x:f>IF(G73="","",INDEX('Repeat Detail'!$Q$6:$Q$1005,$G73))</x:f>
      </x:c>
      <x:c r="E73" s="22" t="str">
        <x:f>IF(G73="","",IF(INDEX('Repeat Detail'!$R$6:$R$1005,$G73)=0,"n.a.",D73/INDEX('Repeat Detail'!$R$6:$R$1005,$G73)))</x:f>
      </x:c>
      <x:c r="F73" s="22" t="str">
        <x:f>IF(G73="","",IF(IF(AND(COUNTIF('Repeat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73" t="str">
        <x:f>IF(67&gt;COUNTIF('Repeat Detail'!$A$6:$A$1005,"Topic"),"",MATCH("Topic",'Repeat Detail'!$A$6:$A$1005,0)+66)</x:f>
      </x:c>
    </x:row>
    <x:row r="74">
      <x:c r="A74" t="str">
        <x:f>IF(G74="","",INDEX('Repeat Detail'!$H$6:$H$1005,$G74))</x:f>
      </x:c>
      <x:c r="B74" s="20" t="str">
        <x:f>IF(G74="","",INDEX('Repeat Detail'!$O$6:$O$1005,$G74))</x:f>
      </x:c>
      <x:c r="C74" s="22" t="str">
        <x:f>IF(G74="","",IF(INDEX('Repeat Detail'!$P$6:$P$1005,$G74)=0,"n.a.",B74/INDEX('Repeat Detail'!$P$6:$P$1005,$G74)))</x:f>
      </x:c>
      <x:c r="D74" s="20" t="str">
        <x:f>IF(G74="","",INDEX('Repeat Detail'!$Q$6:$Q$1005,$G74))</x:f>
      </x:c>
      <x:c r="E74" s="22" t="str">
        <x:f>IF(G74="","",IF(INDEX('Repeat Detail'!$R$6:$R$1005,$G74)=0,"n.a.",D74/INDEX('Repeat Detail'!$R$6:$R$1005,$G74)))</x:f>
      </x:c>
      <x:c r="F74" s="22" t="str">
        <x:f>IF(G74="","",IF(IF(AND(COUNTIF('Repeat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74" t="str">
        <x:f>IF(68&gt;COUNTIF('Repeat Detail'!$A$6:$A$1005,"Topic"),"",MATCH("Topic",'Repeat Detail'!$A$6:$A$1005,0)+67)</x:f>
      </x:c>
    </x:row>
    <x:row r="75">
      <x:c r="A75" t="str">
        <x:f>IF(G75="","",INDEX('Repeat Detail'!$H$6:$H$1005,$G75))</x:f>
      </x:c>
      <x:c r="B75" s="20" t="str">
        <x:f>IF(G75="","",INDEX('Repeat Detail'!$O$6:$O$1005,$G75))</x:f>
      </x:c>
      <x:c r="C75" s="22" t="str">
        <x:f>IF(G75="","",IF(INDEX('Repeat Detail'!$P$6:$P$1005,$G75)=0,"n.a.",B75/INDEX('Repeat Detail'!$P$6:$P$1005,$G75)))</x:f>
      </x:c>
      <x:c r="D75" s="20" t="str">
        <x:f>IF(G75="","",INDEX('Repeat Detail'!$Q$6:$Q$1005,$G75))</x:f>
      </x:c>
      <x:c r="E75" s="22" t="str">
        <x:f>IF(G75="","",IF(INDEX('Repeat Detail'!$R$6:$R$1005,$G75)=0,"n.a.",D75/INDEX('Repeat Detail'!$R$6:$R$1005,$G75)))</x:f>
      </x:c>
      <x:c r="F75" s="22" t="str">
        <x:f>IF(G75="","",IF(IF(AND(COUNTIF('Repeat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75" t="str">
        <x:f>IF(69&gt;COUNTIF('Repeat Detail'!$A$6:$A$1005,"Topic"),"",MATCH("Topic",'Repeat Detail'!$A$6:$A$1005,0)+68)</x:f>
      </x:c>
    </x:row>
    <x:row r="76">
      <x:c r="A76" t="str">
        <x:f>IF(G76="","",INDEX('Repeat Detail'!$H$6:$H$1005,$G76))</x:f>
      </x:c>
      <x:c r="B76" s="20" t="str">
        <x:f>IF(G76="","",INDEX('Repeat Detail'!$O$6:$O$1005,$G76))</x:f>
      </x:c>
      <x:c r="C76" s="22" t="str">
        <x:f>IF(G76="","",IF(INDEX('Repeat Detail'!$P$6:$P$1005,$G76)=0,"n.a.",B76/INDEX('Repeat Detail'!$P$6:$P$1005,$G76)))</x:f>
      </x:c>
      <x:c r="D76" s="20" t="str">
        <x:f>IF(G76="","",INDEX('Repeat Detail'!$Q$6:$Q$1005,$G76))</x:f>
      </x:c>
      <x:c r="E76" s="22" t="str">
        <x:f>IF(G76="","",IF(INDEX('Repeat Detail'!$R$6:$R$1005,$G76)=0,"n.a.",D76/INDEX('Repeat Detail'!$R$6:$R$1005,$G76)))</x:f>
      </x:c>
      <x:c r="F76" s="22" t="str">
        <x:f>IF(G76="","",IF(IF(AND(COUNTIF('Repeat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76" t="str">
        <x:f>IF(70&gt;COUNTIF('Repeat Detail'!$A$6:$A$1005,"Topic"),"",MATCH("Topic",'Repeat Detail'!$A$6:$A$1005,0)+69)</x:f>
      </x:c>
    </x:row>
    <x:row r="77">
      <x:c r="A77" t="str">
        <x:f>IF(G77="","",INDEX('Repeat Detail'!$H$6:$H$1005,$G77))</x:f>
      </x:c>
      <x:c r="B77" s="20" t="str">
        <x:f>IF(G77="","",INDEX('Repeat Detail'!$O$6:$O$1005,$G77))</x:f>
      </x:c>
      <x:c r="C77" s="22" t="str">
        <x:f>IF(G77="","",IF(INDEX('Repeat Detail'!$P$6:$P$1005,$G77)=0,"n.a.",B77/INDEX('Repeat Detail'!$P$6:$P$1005,$G77)))</x:f>
      </x:c>
      <x:c r="D77" s="20" t="str">
        <x:f>IF(G77="","",INDEX('Repeat Detail'!$Q$6:$Q$1005,$G77))</x:f>
      </x:c>
      <x:c r="E77" s="22" t="str">
        <x:f>IF(G77="","",IF(INDEX('Repeat Detail'!$R$6:$R$1005,$G77)=0,"n.a.",D77/INDEX('Repeat Detail'!$R$6:$R$1005,$G77)))</x:f>
      </x:c>
      <x:c r="F77" s="22" t="str">
        <x:f>IF(G77="","",IF(IF(AND(COUNTIF('Repeat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77" t="str">
        <x:f>IF(71&gt;COUNTIF('Repeat Detail'!$A$6:$A$1005,"Topic"),"",MATCH("Topic",'Repeat Detail'!$A$6:$A$1005,0)+70)</x:f>
      </x:c>
    </x:row>
    <x:row r="78">
      <x:c r="A78" t="str">
        <x:f>IF(G78="","",INDEX('Repeat Detail'!$H$6:$H$1005,$G78))</x:f>
      </x:c>
      <x:c r="B78" s="20" t="str">
        <x:f>IF(G78="","",INDEX('Repeat Detail'!$O$6:$O$1005,$G78))</x:f>
      </x:c>
      <x:c r="C78" s="22" t="str">
        <x:f>IF(G78="","",IF(INDEX('Repeat Detail'!$P$6:$P$1005,$G78)=0,"n.a.",B78/INDEX('Repeat Detail'!$P$6:$P$1005,$G78)))</x:f>
      </x:c>
      <x:c r="D78" s="20" t="str">
        <x:f>IF(G78="","",INDEX('Repeat Detail'!$Q$6:$Q$1005,$G78))</x:f>
      </x:c>
      <x:c r="E78" s="22" t="str">
        <x:f>IF(G78="","",IF(INDEX('Repeat Detail'!$R$6:$R$1005,$G78)=0,"n.a.",D78/INDEX('Repeat Detail'!$R$6:$R$1005,$G78)))</x:f>
      </x:c>
      <x:c r="F78" s="22" t="str">
        <x:f>IF(G78="","",IF(IF(AND(COUNTIF('Repeat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78" t="str">
        <x:f>IF(72&gt;COUNTIF('Repeat Detail'!$A$6:$A$1005,"Topic"),"",MATCH("Topic",'Repeat Detail'!$A$6:$A$1005,0)+71)</x:f>
      </x:c>
    </x:row>
    <x:row r="79">
      <x:c r="A79" t="str">
        <x:f>IF(G79="","",INDEX('Repeat Detail'!$H$6:$H$1005,$G79))</x:f>
      </x:c>
      <x:c r="B79" s="20" t="str">
        <x:f>IF(G79="","",INDEX('Repeat Detail'!$O$6:$O$1005,$G79))</x:f>
      </x:c>
      <x:c r="C79" s="22" t="str">
        <x:f>IF(G79="","",IF(INDEX('Repeat Detail'!$P$6:$P$1005,$G79)=0,"n.a.",B79/INDEX('Repeat Detail'!$P$6:$P$1005,$G79)))</x:f>
      </x:c>
      <x:c r="D79" s="20" t="str">
        <x:f>IF(G79="","",INDEX('Repeat Detail'!$Q$6:$Q$1005,$G79))</x:f>
      </x:c>
      <x:c r="E79" s="22" t="str">
        <x:f>IF(G79="","",IF(INDEX('Repeat Detail'!$R$6:$R$1005,$G79)=0,"n.a.",D79/INDEX('Repeat Detail'!$R$6:$R$1005,$G79)))</x:f>
      </x:c>
      <x:c r="F79" s="22" t="str">
        <x:f>IF(G79="","",IF(IF(AND(COUNTIF('Repeat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calls"),NA())=0,"n.a.",D79/IF(AND(COUNTIF('Repeat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79" t="str">
        <x:f>IF(73&gt;COUNTIF('Repeat Detail'!$A$6:$A$1005,"Topic"),"",MATCH("Topic",'Repeat Detail'!$A$6:$A$1005,0)+72)</x:f>
      </x:c>
    </x:row>
    <x:row r="80">
      <x:c r="A80" t="str">
        <x:f>IF(G80="","",INDEX('Repeat Detail'!$H$6:$H$1005,$G80))</x:f>
      </x:c>
      <x:c r="B80" s="20" t="str">
        <x:f>IF(G80="","",INDEX('Repeat Detail'!$O$6:$O$1005,$G80))</x:f>
      </x:c>
      <x:c r="C80" s="22" t="str">
        <x:f>IF(G80="","",IF(INDEX('Repeat Detail'!$P$6:$P$1005,$G80)=0,"n.a.",B80/INDEX('Repeat Detail'!$P$6:$P$1005,$G80)))</x:f>
      </x:c>
      <x:c r="D80" s="20" t="str">
        <x:f>IF(G80="","",INDEX('Repeat Detail'!$Q$6:$Q$1005,$G80))</x:f>
      </x:c>
      <x:c r="E80" s="22" t="str">
        <x:f>IF(G80="","",IF(INDEX('Repeat Detail'!$R$6:$R$1005,$G80)=0,"n.a.",D80/INDEX('Repeat Detail'!$R$6:$R$1005,$G80)))</x:f>
      </x:c>
      <x:c r="F80" s="22" t="str">
        <x:f>IF(G80="","",IF(IF(AND(COUNTIF('Repeat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80" t="str">
        <x:f>IF(74&gt;COUNTIF('Repeat Detail'!$A$6:$A$1005,"Topic"),"",MATCH("Topic",'Repeat Detail'!$A$6:$A$1005,0)+73)</x:f>
      </x:c>
    </x:row>
    <x:row r="81">
      <x:c r="A81" t="str">
        <x:f>IF(G81="","",INDEX('Repeat Detail'!$H$6:$H$1005,$G81))</x:f>
      </x:c>
      <x:c r="B81" s="20" t="str">
        <x:f>IF(G81="","",INDEX('Repeat Detail'!$O$6:$O$1005,$G81))</x:f>
      </x:c>
      <x:c r="C81" s="22" t="str">
        <x:f>IF(G81="","",IF(INDEX('Repeat Detail'!$P$6:$P$1005,$G81)=0,"n.a.",B81/INDEX('Repeat Detail'!$P$6:$P$1005,$G81)))</x:f>
      </x:c>
      <x:c r="D81" s="20" t="str">
        <x:f>IF(G81="","",INDEX('Repeat Detail'!$Q$6:$Q$1005,$G81))</x:f>
      </x:c>
      <x:c r="E81" s="22" t="str">
        <x:f>IF(G81="","",IF(INDEX('Repeat Detail'!$R$6:$R$1005,$G81)=0,"n.a.",D81/INDEX('Repeat Detail'!$R$6:$R$1005,$G81)))</x:f>
      </x:c>
      <x:c r="F81" s="22" t="str">
        <x:f>IF(G81="","",IF(IF(AND(COUNTIF('Repeat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81" t="str">
        <x:f>IF(75&gt;COUNTIF('Repeat Detail'!$A$6:$A$1005,"Topic"),"",MATCH("Topic",'Repeat Detail'!$A$6:$A$1005,0)+74)</x:f>
      </x:c>
    </x:row>
    <x:row r="82">
      <x:c r="A82" t="str">
        <x:f>IF(G82="","",INDEX('Repeat Detail'!$H$6:$H$1005,$G82))</x:f>
      </x:c>
      <x:c r="B82" s="20" t="str">
        <x:f>IF(G82="","",INDEX('Repeat Detail'!$O$6:$O$1005,$G82))</x:f>
      </x:c>
      <x:c r="C82" s="22" t="str">
        <x:f>IF(G82="","",IF(INDEX('Repeat Detail'!$P$6:$P$1005,$G82)=0,"n.a.",B82/INDEX('Repeat Detail'!$P$6:$P$1005,$G82)))</x:f>
      </x:c>
      <x:c r="D82" s="20" t="str">
        <x:f>IF(G82="","",INDEX('Repeat Detail'!$Q$6:$Q$1005,$G82))</x:f>
      </x:c>
      <x:c r="E82" s="22" t="str">
        <x:f>IF(G82="","",IF(INDEX('Repeat Detail'!$R$6:$R$1005,$G82)=0,"n.a.",D82/INDEX('Repeat Detail'!$R$6:$R$1005,$G82)))</x:f>
      </x:c>
      <x:c r="F82" s="22" t="str">
        <x:f>IF(G82="","",IF(IF(AND(COUNTIF('Repeat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82" t="str">
        <x:f>IF(76&gt;COUNTIF('Repeat Detail'!$A$6:$A$1005,"Topic"),"",MATCH("Topic",'Repeat Detail'!$A$6:$A$1005,0)+75)</x:f>
      </x:c>
    </x:row>
    <x:row r="83">
      <x:c r="A83" t="str">
        <x:f>IF(G83="","",INDEX('Repeat Detail'!$H$6:$H$1005,$G83))</x:f>
      </x:c>
      <x:c r="B83" s="20" t="str">
        <x:f>IF(G83="","",INDEX('Repeat Detail'!$O$6:$O$1005,$G83))</x:f>
      </x:c>
      <x:c r="C83" s="22" t="str">
        <x:f>IF(G83="","",IF(INDEX('Repeat Detail'!$P$6:$P$1005,$G83)=0,"n.a.",B83/INDEX('Repeat Detail'!$P$6:$P$1005,$G83)))</x:f>
      </x:c>
      <x:c r="D83" s="20" t="str">
        <x:f>IF(G83="","",INDEX('Repeat Detail'!$Q$6:$Q$1005,$G83))</x:f>
      </x:c>
      <x:c r="E83" s="22" t="str">
        <x:f>IF(G83="","",IF(INDEX('Repeat Detail'!$R$6:$R$1005,$G83)=0,"n.a.",D83/INDEX('Repeat Detail'!$R$6:$R$1005,$G83)))</x:f>
      </x:c>
      <x:c r="F83" s="22" t="str">
        <x:f>IF(G83="","",IF(IF(AND(COUNTIF('Repeat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83" t="str">
        <x:f>IF(77&gt;COUNTIF('Repeat Detail'!$A$6:$A$1005,"Topic"),"",MATCH("Topic",'Repeat Detail'!$A$6:$A$1005,0)+76)</x:f>
      </x:c>
    </x:row>
    <x:row r="84">
      <x:c r="A84" t="str">
        <x:f>IF(G84="","",INDEX('Repeat Detail'!$H$6:$H$1005,$G84))</x:f>
      </x:c>
      <x:c r="B84" s="20" t="str">
        <x:f>IF(G84="","",INDEX('Repeat Detail'!$O$6:$O$1005,$G84))</x:f>
      </x:c>
      <x:c r="C84" s="22" t="str">
        <x:f>IF(G84="","",IF(INDEX('Repeat Detail'!$P$6:$P$1005,$G84)=0,"n.a.",B84/INDEX('Repeat Detail'!$P$6:$P$1005,$G84)))</x:f>
      </x:c>
      <x:c r="D84" s="20" t="str">
        <x:f>IF(G84="","",INDEX('Repeat Detail'!$Q$6:$Q$1005,$G84))</x:f>
      </x:c>
      <x:c r="E84" s="22" t="str">
        <x:f>IF(G84="","",IF(INDEX('Repeat Detail'!$R$6:$R$1005,$G84)=0,"n.a.",D84/INDEX('Repeat Detail'!$R$6:$R$1005,$G84)))</x:f>
      </x:c>
      <x:c r="F84" s="22" t="str">
        <x:f>IF(G84="","",IF(IF(AND(COUNTIF('Repeat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84" t="str">
        <x:f>IF(78&gt;COUNTIF('Repeat Detail'!$A$6:$A$1005,"Topic"),"",MATCH("Topic",'Repeat Detail'!$A$6:$A$1005,0)+77)</x:f>
      </x:c>
    </x:row>
    <x:row r="85">
      <x:c r="A85" t="str">
        <x:f>IF(G85="","",INDEX('Repeat Detail'!$H$6:$H$1005,$G85))</x:f>
      </x:c>
      <x:c r="B85" s="20" t="str">
        <x:f>IF(G85="","",INDEX('Repeat Detail'!$O$6:$O$1005,$G85))</x:f>
      </x:c>
      <x:c r="C85" s="22" t="str">
        <x:f>IF(G85="","",IF(INDEX('Repeat Detail'!$P$6:$P$1005,$G85)=0,"n.a.",B85/INDEX('Repeat Detail'!$P$6:$P$1005,$G85)))</x:f>
      </x:c>
      <x:c r="D85" s="20" t="str">
        <x:f>IF(G85="","",INDEX('Repeat Detail'!$Q$6:$Q$1005,$G85))</x:f>
      </x:c>
      <x:c r="E85" s="22" t="str">
        <x:f>IF(G85="","",IF(INDEX('Repeat Detail'!$R$6:$R$1005,$G85)=0,"n.a.",D85/INDEX('Repeat Detail'!$R$6:$R$1005,$G85)))</x:f>
      </x:c>
      <x:c r="F85" s="22" t="str">
        <x:f>IF(G85="","",IF(IF(AND(COUNTIF('Repeat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85" t="str">
        <x:f>IF(79&gt;COUNTIF('Repeat Detail'!$A$6:$A$1005,"Topic"),"",MATCH("Topic",'Repeat Detail'!$A$6:$A$1005,0)+78)</x:f>
      </x:c>
    </x:row>
    <x:row r="86">
      <x:c r="A86" t="str">
        <x:f>IF(G86="","",INDEX('Repeat Detail'!$H$6:$H$1005,$G86))</x:f>
      </x:c>
      <x:c r="B86" s="20" t="str">
        <x:f>IF(G86="","",INDEX('Repeat Detail'!$O$6:$O$1005,$G86))</x:f>
      </x:c>
      <x:c r="C86" s="22" t="str">
        <x:f>IF(G86="","",IF(INDEX('Repeat Detail'!$P$6:$P$1005,$G86)=0,"n.a.",B86/INDEX('Repeat Detail'!$P$6:$P$1005,$G86)))</x:f>
      </x:c>
      <x:c r="D86" s="20" t="str">
        <x:f>IF(G86="","",INDEX('Repeat Detail'!$Q$6:$Q$1005,$G86))</x:f>
      </x:c>
      <x:c r="E86" s="22" t="str">
        <x:f>IF(G86="","",IF(INDEX('Repeat Detail'!$R$6:$R$1005,$G86)=0,"n.a.",D86/INDEX('Repeat Detail'!$R$6:$R$1005,$G86)))</x:f>
      </x:c>
      <x:c r="F86" s="22" t="str">
        <x:f>IF(G86="","",IF(IF(AND(COUNTIF('Repeat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86" t="str">
        <x:f>IF(80&gt;COUNTIF('Repeat Detail'!$A$6:$A$1005,"Topic"),"",MATCH("Topic",'Repeat Detail'!$A$6:$A$1005,0)+79)</x:f>
      </x:c>
    </x:row>
    <x:row r="87">
      <x:c r="A87" t="str">
        <x:f>IF(G87="","",INDEX('Repeat Detail'!$H$6:$H$1005,$G87))</x:f>
      </x:c>
      <x:c r="B87" s="20" t="str">
        <x:f>IF(G87="","",INDEX('Repeat Detail'!$O$6:$O$1005,$G87))</x:f>
      </x:c>
      <x:c r="C87" s="22" t="str">
        <x:f>IF(G87="","",IF(INDEX('Repeat Detail'!$P$6:$P$1005,$G87)=0,"n.a.",B87/INDEX('Repeat Detail'!$P$6:$P$1005,$G87)))</x:f>
      </x:c>
      <x:c r="D87" s="20" t="str">
        <x:f>IF(G87="","",INDEX('Repeat Detail'!$Q$6:$Q$1005,$G87))</x:f>
      </x:c>
      <x:c r="E87" s="22" t="str">
        <x:f>IF(G87="","",IF(INDEX('Repeat Detail'!$R$6:$R$1005,$G87)=0,"n.a.",D87/INDEX('Repeat Detail'!$R$6:$R$1005,$G87)))</x:f>
      </x:c>
      <x:c r="F87" s="22" t="str">
        <x:f>IF(G87="","",IF(IF(AND(COUNTIF('Repeat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87" t="str">
        <x:f>IF(81&gt;COUNTIF('Repeat Detail'!$A$6:$A$1005,"Topic"),"",MATCH("Topic",'Repeat Detail'!$A$6:$A$1005,0)+80)</x:f>
      </x:c>
    </x:row>
    <x:row r="88">
      <x:c r="A88" t="str">
        <x:f>IF(G88="","",INDEX('Repeat Detail'!$H$6:$H$1005,$G88))</x:f>
      </x:c>
      <x:c r="B88" s="20" t="str">
        <x:f>IF(G88="","",INDEX('Repeat Detail'!$O$6:$O$1005,$G88))</x:f>
      </x:c>
      <x:c r="C88" s="22" t="str">
        <x:f>IF(G88="","",IF(INDEX('Repeat Detail'!$P$6:$P$1005,$G88)=0,"n.a.",B88/INDEX('Repeat Detail'!$P$6:$P$1005,$G88)))</x:f>
      </x:c>
      <x:c r="D88" s="20" t="str">
        <x:f>IF(G88="","",INDEX('Repeat Detail'!$Q$6:$Q$1005,$G88))</x:f>
      </x:c>
      <x:c r="E88" s="22" t="str">
        <x:f>IF(G88="","",IF(INDEX('Repeat Detail'!$R$6:$R$1005,$G88)=0,"n.a.",D88/INDEX('Repeat Detail'!$R$6:$R$1005,$G88)))</x:f>
      </x:c>
      <x:c r="F88" s="22" t="str">
        <x:f>IF(G88="","",IF(IF(AND(COUNTIF('Repeat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88" t="str">
        <x:f>IF(82&gt;COUNTIF('Repeat Detail'!$A$6:$A$1005,"Topic"),"",MATCH("Topic",'Repeat Detail'!$A$6:$A$1005,0)+81)</x:f>
      </x:c>
    </x:row>
    <x:row r="89">
      <x:c r="A89" t="str">
        <x:f>IF(G89="","",INDEX('Repeat Detail'!$H$6:$H$1005,$G89))</x:f>
      </x:c>
      <x:c r="B89" s="20" t="str">
        <x:f>IF(G89="","",INDEX('Repeat Detail'!$O$6:$O$1005,$G89))</x:f>
      </x:c>
      <x:c r="C89" s="22" t="str">
        <x:f>IF(G89="","",IF(INDEX('Repeat Detail'!$P$6:$P$1005,$G89)=0,"n.a.",B89/INDEX('Repeat Detail'!$P$6:$P$1005,$G89)))</x:f>
      </x:c>
      <x:c r="D89" s="20" t="str">
        <x:f>IF(G89="","",INDEX('Repeat Detail'!$Q$6:$Q$1005,$G89))</x:f>
      </x:c>
      <x:c r="E89" s="22" t="str">
        <x:f>IF(G89="","",IF(INDEX('Repeat Detail'!$R$6:$R$1005,$G89)=0,"n.a.",D89/INDEX('Repeat Detail'!$R$6:$R$1005,$G89)))</x:f>
      </x:c>
      <x:c r="F89" s="22" t="str">
        <x:f>IF(G89="","",IF(IF(AND(COUNTIF('Repeat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calls"),NA())=0,"n.a.",D89/IF(AND(COUNTIF('Repeat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89" t="str">
        <x:f>IF(83&gt;COUNTIF('Repeat Detail'!$A$6:$A$1005,"Topic"),"",MATCH("Topic",'Repeat Detail'!$A$6:$A$1005,0)+82)</x:f>
      </x:c>
    </x:row>
    <x:row r="90">
      <x:c r="A90" t="str">
        <x:f>IF(G90="","",INDEX('Repeat Detail'!$H$6:$H$1005,$G90))</x:f>
      </x:c>
      <x:c r="B90" s="20" t="str">
        <x:f>IF(G90="","",INDEX('Repeat Detail'!$O$6:$O$1005,$G90))</x:f>
      </x:c>
      <x:c r="C90" s="22" t="str">
        <x:f>IF(G90="","",IF(INDEX('Repeat Detail'!$P$6:$P$1005,$G90)=0,"n.a.",B90/INDEX('Repeat Detail'!$P$6:$P$1005,$G90)))</x:f>
      </x:c>
      <x:c r="D90" s="20" t="str">
        <x:f>IF(G90="","",INDEX('Repeat Detail'!$Q$6:$Q$1005,$G90))</x:f>
      </x:c>
      <x:c r="E90" s="22" t="str">
        <x:f>IF(G90="","",IF(INDEX('Repeat Detail'!$R$6:$R$1005,$G90)=0,"n.a.",D90/INDEX('Repeat Detail'!$R$6:$R$1005,$G90)))</x:f>
      </x:c>
      <x:c r="F90" s="22" t="str">
        <x:f>IF(G90="","",IF(IF(AND(COUNTIF('Repeat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90" t="str">
        <x:f>IF(84&gt;COUNTIF('Repeat Detail'!$A$6:$A$1005,"Topic"),"",MATCH("Topic",'Repeat Detail'!$A$6:$A$1005,0)+83)</x:f>
      </x:c>
    </x:row>
    <x:row r="91">
      <x:c r="A91" t="str">
        <x:f>IF(G91="","",INDEX('Repeat Detail'!$H$6:$H$1005,$G91))</x:f>
      </x:c>
      <x:c r="B91" s="20" t="str">
        <x:f>IF(G91="","",INDEX('Repeat Detail'!$O$6:$O$1005,$G91))</x:f>
      </x:c>
      <x:c r="C91" s="22" t="str">
        <x:f>IF(G91="","",IF(INDEX('Repeat Detail'!$P$6:$P$1005,$G91)=0,"n.a.",B91/INDEX('Repeat Detail'!$P$6:$P$1005,$G91)))</x:f>
      </x:c>
      <x:c r="D91" s="20" t="str">
        <x:f>IF(G91="","",INDEX('Repeat Detail'!$Q$6:$Q$1005,$G91))</x:f>
      </x:c>
      <x:c r="E91" s="22" t="str">
        <x:f>IF(G91="","",IF(INDEX('Repeat Detail'!$R$6:$R$1005,$G91)=0,"n.a.",D91/INDEX('Repeat Detail'!$R$6:$R$1005,$G91)))</x:f>
      </x:c>
      <x:c r="F91" s="22" t="str">
        <x:f>IF(G91="","",IF(IF(AND(COUNTIF('Repeat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91" t="str">
        <x:f>IF(85&gt;COUNTIF('Repeat Detail'!$A$6:$A$1005,"Topic"),"",MATCH("Topic",'Repeat Detail'!$A$6:$A$1005,0)+84)</x:f>
      </x:c>
    </x:row>
    <x:row r="92">
      <x:c r="A92" t="str">
        <x:f>IF(G92="","",INDEX('Repeat Detail'!$H$6:$H$1005,$G92))</x:f>
      </x:c>
      <x:c r="B92" s="20" t="str">
        <x:f>IF(G92="","",INDEX('Repeat Detail'!$O$6:$O$1005,$G92))</x:f>
      </x:c>
      <x:c r="C92" s="22" t="str">
        <x:f>IF(G92="","",IF(INDEX('Repeat Detail'!$P$6:$P$1005,$G92)=0,"n.a.",B92/INDEX('Repeat Detail'!$P$6:$P$1005,$G92)))</x:f>
      </x:c>
      <x:c r="D92" s="20" t="str">
        <x:f>IF(G92="","",INDEX('Repeat Detail'!$Q$6:$Q$1005,$G92))</x:f>
      </x:c>
      <x:c r="E92" s="22" t="str">
        <x:f>IF(G92="","",IF(INDEX('Repeat Detail'!$R$6:$R$1005,$G92)=0,"n.a.",D92/INDEX('Repeat Detail'!$R$6:$R$1005,$G92)))</x:f>
      </x:c>
      <x:c r="F92" s="22" t="str">
        <x:f>IF(G92="","",IF(IF(AND(COUNTIF('Repeat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92" t="str">
        <x:f>IF(86&gt;COUNTIF('Repeat Detail'!$A$6:$A$1005,"Topic"),"",MATCH("Topic",'Repeat Detail'!$A$6:$A$1005,0)+85)</x:f>
      </x:c>
    </x:row>
    <x:row r="93">
      <x:c r="A93" t="str">
        <x:f>IF(G93="","",INDEX('Repeat Detail'!$H$6:$H$1005,$G93))</x:f>
      </x:c>
      <x:c r="B93" s="20" t="str">
        <x:f>IF(G93="","",INDEX('Repeat Detail'!$O$6:$O$1005,$G93))</x:f>
      </x:c>
      <x:c r="C93" s="22" t="str">
        <x:f>IF(G93="","",IF(INDEX('Repeat Detail'!$P$6:$P$1005,$G93)=0,"n.a.",B93/INDEX('Repeat Detail'!$P$6:$P$1005,$G93)))</x:f>
      </x:c>
      <x:c r="D93" s="20" t="str">
        <x:f>IF(G93="","",INDEX('Repeat Detail'!$Q$6:$Q$1005,$G93))</x:f>
      </x:c>
      <x:c r="E93" s="22" t="str">
        <x:f>IF(G93="","",IF(INDEX('Repeat Detail'!$R$6:$R$1005,$G93)=0,"n.a.",D93/INDEX('Repeat Detail'!$R$6:$R$1005,$G93)))</x:f>
      </x:c>
      <x:c r="F93" s="22" t="str">
        <x:f>IF(G93="","",IF(IF(AND(COUNTIF('Repeat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93" t="str">
        <x:f>IF(87&gt;COUNTIF('Repeat Detail'!$A$6:$A$1005,"Topic"),"",MATCH("Topic",'Repeat Detail'!$A$6:$A$1005,0)+86)</x:f>
      </x:c>
    </x:row>
    <x:row r="94">
      <x:c r="A94" t="str">
        <x:f>IF(G94="","",INDEX('Repeat Detail'!$H$6:$H$1005,$G94))</x:f>
      </x:c>
      <x:c r="B94" s="20" t="str">
        <x:f>IF(G94="","",INDEX('Repeat Detail'!$O$6:$O$1005,$G94))</x:f>
      </x:c>
      <x:c r="C94" s="22" t="str">
        <x:f>IF(G94="","",IF(INDEX('Repeat Detail'!$P$6:$P$1005,$G94)=0,"n.a.",B94/INDEX('Repeat Detail'!$P$6:$P$1005,$G94)))</x:f>
      </x:c>
      <x:c r="D94" s="20" t="str">
        <x:f>IF(G94="","",INDEX('Repeat Detail'!$Q$6:$Q$1005,$G94))</x:f>
      </x:c>
      <x:c r="E94" s="22" t="str">
        <x:f>IF(G94="","",IF(INDEX('Repeat Detail'!$R$6:$R$1005,$G94)=0,"n.a.",D94/INDEX('Repeat Detail'!$R$6:$R$1005,$G94)))</x:f>
      </x:c>
      <x:c r="F94" s="22" t="str">
        <x:f>IF(G94="","",IF(IF(AND(COUNTIF('Repeat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94" t="str">
        <x:f>IF(88&gt;COUNTIF('Repeat Detail'!$A$6:$A$1005,"Topic"),"",MATCH("Topic",'Repeat Detail'!$A$6:$A$1005,0)+87)</x:f>
      </x:c>
    </x:row>
    <x:row r="95">
      <x:c r="A95" t="str">
        <x:f>IF(G95="","",INDEX('Repeat Detail'!$H$6:$H$1005,$G95))</x:f>
      </x:c>
      <x:c r="B95" s="20" t="str">
        <x:f>IF(G95="","",INDEX('Repeat Detail'!$O$6:$O$1005,$G95))</x:f>
      </x:c>
      <x:c r="C95" s="22" t="str">
        <x:f>IF(G95="","",IF(INDEX('Repeat Detail'!$P$6:$P$1005,$G95)=0,"n.a.",B95/INDEX('Repeat Detail'!$P$6:$P$1005,$G95)))</x:f>
      </x:c>
      <x:c r="D95" s="20" t="str">
        <x:f>IF(G95="","",INDEX('Repeat Detail'!$Q$6:$Q$1005,$G95))</x:f>
      </x:c>
      <x:c r="E95" s="22" t="str">
        <x:f>IF(G95="","",IF(INDEX('Repeat Detail'!$R$6:$R$1005,$G95)=0,"n.a.",D95/INDEX('Repeat Detail'!$R$6:$R$1005,$G95)))</x:f>
      </x:c>
      <x:c r="F95" s="22" t="str">
        <x:f>IF(G95="","",IF(IF(AND(COUNTIF('Repeat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95" t="str">
        <x:f>IF(89&gt;COUNTIF('Repeat Detail'!$A$6:$A$1005,"Topic"),"",MATCH("Topic",'Repeat Detail'!$A$6:$A$1005,0)+88)</x:f>
      </x:c>
    </x:row>
    <x:row r="96">
      <x:c r="A96" t="str">
        <x:f>IF(G96="","",INDEX('Repeat Detail'!$H$6:$H$1005,$G96))</x:f>
      </x:c>
      <x:c r="B96" s="20" t="str">
        <x:f>IF(G96="","",INDEX('Repeat Detail'!$O$6:$O$1005,$G96))</x:f>
      </x:c>
      <x:c r="C96" s="22" t="str">
        <x:f>IF(G96="","",IF(INDEX('Repeat Detail'!$P$6:$P$1005,$G96)=0,"n.a.",B96/INDEX('Repeat Detail'!$P$6:$P$1005,$G96)))</x:f>
      </x:c>
      <x:c r="D96" s="20" t="str">
        <x:f>IF(G96="","",INDEX('Repeat Detail'!$Q$6:$Q$1005,$G96))</x:f>
      </x:c>
      <x:c r="E96" s="22" t="str">
        <x:f>IF(G96="","",IF(INDEX('Repeat Detail'!$R$6:$R$1005,$G96)=0,"n.a.",D96/INDEX('Repeat Detail'!$R$6:$R$1005,$G96)))</x:f>
      </x:c>
      <x:c r="F96" s="22" t="str">
        <x:f>IF(G96="","",IF(IF(AND(COUNTIF('Repeat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96" t="str">
        <x:f>IF(90&gt;COUNTIF('Repeat Detail'!$A$6:$A$1005,"Topic"),"",MATCH("Topic",'Repeat Detail'!$A$6:$A$1005,0)+89)</x:f>
      </x:c>
    </x:row>
    <x:row r="97">
      <x:c r="A97" t="str">
        <x:f>IF(G97="","",INDEX('Repeat Detail'!$H$6:$H$1005,$G97))</x:f>
      </x:c>
      <x:c r="B97" s="20" t="str">
        <x:f>IF(G97="","",INDEX('Repeat Detail'!$O$6:$O$1005,$G97))</x:f>
      </x:c>
      <x:c r="C97" s="22" t="str">
        <x:f>IF(G97="","",IF(INDEX('Repeat Detail'!$P$6:$P$1005,$G97)=0,"n.a.",B97/INDEX('Repeat Detail'!$P$6:$P$1005,$G97)))</x:f>
      </x:c>
      <x:c r="D97" s="20" t="str">
        <x:f>IF(G97="","",INDEX('Repeat Detail'!$Q$6:$Q$1005,$G97))</x:f>
      </x:c>
      <x:c r="E97" s="22" t="str">
        <x:f>IF(G97="","",IF(INDEX('Repeat Detail'!$R$6:$R$1005,$G97)=0,"n.a.",D97/INDEX('Repeat Detail'!$R$6:$R$1005,$G97)))</x:f>
      </x:c>
      <x:c r="F97" s="22" t="str">
        <x:f>IF(G97="","",IF(IF(AND(COUNTIF('Repeat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calls"),NA())=0,"n.a.",D97/IF(AND(COUNTIF('Repeat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97" t="str">
        <x:f>IF(91&gt;COUNTIF('Repeat Detail'!$A$6:$A$1005,"Topic"),"",MATCH("Topic",'Repeat Detail'!$A$6:$A$1005,0)+90)</x:f>
      </x:c>
    </x:row>
    <x:row r="98">
      <x:c r="A98" t="str">
        <x:f>IF(G98="","",INDEX('Repeat Detail'!$H$6:$H$1005,$G98))</x:f>
      </x:c>
      <x:c r="B98" s="20" t="str">
        <x:f>IF(G98="","",INDEX('Repeat Detail'!$O$6:$O$1005,$G98))</x:f>
      </x:c>
      <x:c r="C98" s="22" t="str">
        <x:f>IF(G98="","",IF(INDEX('Repeat Detail'!$P$6:$P$1005,$G98)=0,"n.a.",B98/INDEX('Repeat Detail'!$P$6:$P$1005,$G98)))</x:f>
      </x:c>
      <x:c r="D98" s="20" t="str">
        <x:f>IF(G98="","",INDEX('Repeat Detail'!$Q$6:$Q$1005,$G98))</x:f>
      </x:c>
      <x:c r="E98" s="22" t="str">
        <x:f>IF(G98="","",IF(INDEX('Repeat Detail'!$R$6:$R$1005,$G98)=0,"n.a.",D98/INDEX('Repeat Detail'!$R$6:$R$1005,$G98)))</x:f>
      </x:c>
      <x:c r="F98" s="22" t="str">
        <x:f>IF(G98="","",IF(IF(AND(COUNTIF('Repeat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calls"),NA())=0,"n.a.",D98/IF(AND(COUNTIF('Repeat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98" t="str">
        <x:f>IF(92&gt;COUNTIF('Repeat Detail'!$A$6:$A$1005,"Topic"),"",MATCH("Topic",'Repeat Detail'!$A$6:$A$1005,0)+91)</x:f>
      </x:c>
    </x:row>
    <x:row r="99">
      <x:c r="A99" t="str">
        <x:f>IF(G99="","",INDEX('Repeat Detail'!$H$6:$H$1005,$G99))</x:f>
      </x:c>
      <x:c r="B99" s="20" t="str">
        <x:f>IF(G99="","",INDEX('Repeat Detail'!$O$6:$O$1005,$G99))</x:f>
      </x:c>
      <x:c r="C99" s="22" t="str">
        <x:f>IF(G99="","",IF(INDEX('Repeat Detail'!$P$6:$P$1005,$G99)=0,"n.a.",B99/INDEX('Repeat Detail'!$P$6:$P$1005,$G99)))</x:f>
      </x:c>
      <x:c r="D99" s="20" t="str">
        <x:f>IF(G99="","",INDEX('Repeat Detail'!$Q$6:$Q$1005,$G99))</x:f>
      </x:c>
      <x:c r="E99" s="22" t="str">
        <x:f>IF(G99="","",IF(INDEX('Repeat Detail'!$R$6:$R$1005,$G99)=0,"n.a.",D99/INDEX('Repeat Detail'!$R$6:$R$1005,$G99)))</x:f>
      </x:c>
      <x:c r="F99" s="22" t="str">
        <x:f>IF(G99="","",IF(IF(AND(COUNTIF('Repeat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calls"),NA())=0,"n.a.",D99/IF(AND(COUNTIF('Repeat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99" t="str">
        <x:f>IF(93&gt;COUNTIF('Repeat Detail'!$A$6:$A$1005,"Topic"),"",MATCH("Topic",'Repeat Detail'!$A$6:$A$1005,0)+92)</x:f>
      </x:c>
    </x:row>
    <x:row r="100">
      <x:c r="A100" t="str">
        <x:f>IF(G100="","",INDEX('Repeat Detail'!$H$6:$H$1005,$G100))</x:f>
      </x:c>
      <x:c r="B100" s="20" t="str">
        <x:f>IF(G100="","",INDEX('Repeat Detail'!$O$6:$O$1005,$G100))</x:f>
      </x:c>
      <x:c r="C100" s="22" t="str">
        <x:f>IF(G100="","",IF(INDEX('Repeat Detail'!$P$6:$P$1005,$G100)=0,"n.a.",B100/INDEX('Repeat Detail'!$P$6:$P$1005,$G100)))</x:f>
      </x:c>
      <x:c r="D100" s="20" t="str">
        <x:f>IF(G100="","",INDEX('Repeat Detail'!$Q$6:$Q$1005,$G100))</x:f>
      </x:c>
      <x:c r="E100" s="22" t="str">
        <x:f>IF(G100="","",IF(INDEX('Repeat Detail'!$R$6:$R$1005,$G100)=0,"n.a.",D100/INDEX('Repeat Detail'!$R$6:$R$1005,$G100)))</x:f>
      </x:c>
      <x:c r="F100" s="22" t="str">
        <x:f>IF(G100="","",IF(IF(AND(COUNTIF('Repeat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calls"),NA())=0,"n.a.",D100/IF(AND(COUNTIF('Repeat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100" t="str">
        <x:f>IF(94&gt;COUNTIF('Repeat Detail'!$A$6:$A$1005,"Topic"),"",MATCH("Topic",'Repeat Detail'!$A$6:$A$1005,0)+93)</x:f>
      </x:c>
    </x:row>
    <x:row r="101">
      <x:c r="A101" t="str">
        <x:f>IF(G101="","",INDEX('Repeat Detail'!$H$6:$H$1005,$G101))</x:f>
      </x:c>
      <x:c r="B101" s="20" t="str">
        <x:f>IF(G101="","",INDEX('Repeat Detail'!$O$6:$O$1005,$G101))</x:f>
      </x:c>
      <x:c r="C101" s="22" t="str">
        <x:f>IF(G101="","",IF(INDEX('Repeat Detail'!$P$6:$P$1005,$G101)=0,"n.a.",B101/INDEX('Repeat Detail'!$P$6:$P$1005,$G101)))</x:f>
      </x:c>
      <x:c r="D101" s="20" t="str">
        <x:f>IF(G101="","",INDEX('Repeat Detail'!$Q$6:$Q$1005,$G101))</x:f>
      </x:c>
      <x:c r="E101" s="22" t="str">
        <x:f>IF(G101="","",IF(INDEX('Repeat Detail'!$R$6:$R$1005,$G101)=0,"n.a.",D101/INDEX('Repeat Detail'!$R$6:$R$1005,$G101)))</x:f>
      </x:c>
      <x:c r="F101" s="22" t="str">
        <x:f>IF(G101="","",IF(IF(AND(COUNTIF('Repeat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calls"),NA())=0,"n.a.",D101/IF(AND(COUNTIF('Repeat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101" t="str">
        <x:f>IF(95&gt;COUNTIF('Repeat Detail'!$A$6:$A$1005,"Topic"),"",MATCH("Topic",'Repeat Detail'!$A$6:$A$1005,0)+94)</x:f>
      </x:c>
    </x:row>
    <x:row r="102">
      <x:c r="A102" t="str">
        <x:f>IF(G102="","",INDEX('Repeat Detail'!$H$6:$H$1005,$G102))</x:f>
      </x:c>
      <x:c r="B102" s="20" t="str">
        <x:f>IF(G102="","",INDEX('Repeat Detail'!$O$6:$O$1005,$G102))</x:f>
      </x:c>
      <x:c r="C102" s="22" t="str">
        <x:f>IF(G102="","",IF(INDEX('Repeat Detail'!$P$6:$P$1005,$G102)=0,"n.a.",B102/INDEX('Repeat Detail'!$P$6:$P$1005,$G102)))</x:f>
      </x:c>
      <x:c r="D102" s="20" t="str">
        <x:f>IF(G102="","",INDEX('Repeat Detail'!$Q$6:$Q$1005,$G102))</x:f>
      </x:c>
      <x:c r="E102" s="22" t="str">
        <x:f>IF(G102="","",IF(INDEX('Repeat Detail'!$R$6:$R$1005,$G102)=0,"n.a.",D102/INDEX('Repeat Detail'!$R$6:$R$1005,$G102)))</x:f>
      </x:c>
      <x:c r="F102" s="22" t="str">
        <x:f>IF(G102="","",IF(IF(AND(COUNTIF('Repeat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calls"),NA())=0,"n.a.",D102/IF(AND(COUNTIF('Repeat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102" t="str">
        <x:f>IF(96&gt;COUNTIF('Repeat Detail'!$A$6:$A$1005,"Topic"),"",MATCH("Topic",'Repeat Detail'!$A$6:$A$1005,0)+95)</x:f>
      </x:c>
    </x:row>
    <x:row r="103">
      <x:c r="A103" t="str">
        <x:f>IF(G103="","",INDEX('Repeat Detail'!$H$6:$H$1005,$G103))</x:f>
      </x:c>
      <x:c r="B103" s="20" t="str">
        <x:f>IF(G103="","",INDEX('Repeat Detail'!$O$6:$O$1005,$G103))</x:f>
      </x:c>
      <x:c r="C103" s="22" t="str">
        <x:f>IF(G103="","",IF(INDEX('Repeat Detail'!$P$6:$P$1005,$G103)=0,"n.a.",B103/INDEX('Repeat Detail'!$P$6:$P$1005,$G103)))</x:f>
      </x:c>
      <x:c r="D103" s="20" t="str">
        <x:f>IF(G103="","",INDEX('Repeat Detail'!$Q$6:$Q$1005,$G103))</x:f>
      </x:c>
      <x:c r="E103" s="22" t="str">
        <x:f>IF(G103="","",IF(INDEX('Repeat Detail'!$R$6:$R$1005,$G103)=0,"n.a.",D103/INDEX('Repeat Detail'!$R$6:$R$1005,$G103)))</x:f>
      </x:c>
      <x:c r="F103" s="22" t="str">
        <x:f>IF(G103="","",IF(IF(AND(COUNTIF('Repeat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calls"),NA())=0,"n.a.",D103/IF(AND(COUNTIF('Repeat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103" t="str">
        <x:f>IF(97&gt;COUNTIF('Repeat Detail'!$A$6:$A$1005,"Topic"),"",MATCH("Topic",'Repeat Detail'!$A$6:$A$1005,0)+96)</x:f>
      </x:c>
    </x:row>
    <x:row r="104">
      <x:c r="A104" t="str">
        <x:f>IF(G104="","",INDEX('Repeat Detail'!$H$6:$H$1005,$G104))</x:f>
      </x:c>
      <x:c r="B104" s="20" t="str">
        <x:f>IF(G104="","",INDEX('Repeat Detail'!$O$6:$O$1005,$G104))</x:f>
      </x:c>
      <x:c r="C104" s="22" t="str">
        <x:f>IF(G104="","",IF(INDEX('Repeat Detail'!$P$6:$P$1005,$G104)=0,"n.a.",B104/INDEX('Repeat Detail'!$P$6:$P$1005,$G104)))</x:f>
      </x:c>
      <x:c r="D104" s="20" t="str">
        <x:f>IF(G104="","",INDEX('Repeat Detail'!$Q$6:$Q$1005,$G104))</x:f>
      </x:c>
      <x:c r="E104" s="22" t="str">
        <x:f>IF(G104="","",IF(INDEX('Repeat Detail'!$R$6:$R$1005,$G104)=0,"n.a.",D104/INDEX('Repeat Detail'!$R$6:$R$1005,$G104)))</x:f>
      </x:c>
      <x:c r="F104" s="22" t="str">
        <x:f>IF(G104="","",IF(IF(AND(COUNTIF('Repeat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calls"),NA())=0,"n.a.",D104/IF(AND(COUNTIF('Repeat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104" t="str">
        <x:f>IF(98&gt;COUNTIF('Repeat Detail'!$A$6:$A$1005,"Topic"),"",MATCH("Topic",'Repeat Detail'!$A$6:$A$1005,0)+97)</x:f>
      </x:c>
    </x:row>
    <x:row r="105">
      <x:c r="A105" t="str">
        <x:f>IF(G105="","",INDEX('Repeat Detail'!$H$6:$H$1005,$G105))</x:f>
      </x:c>
      <x:c r="B105" s="20" t="str">
        <x:f>IF(G105="","",INDEX('Repeat Detail'!$O$6:$O$1005,$G105))</x:f>
      </x:c>
      <x:c r="C105" s="22" t="str">
        <x:f>IF(G105="","",IF(INDEX('Repeat Detail'!$P$6:$P$1005,$G105)=0,"n.a.",B105/INDEX('Repeat Detail'!$P$6:$P$1005,$G105)))</x:f>
      </x:c>
      <x:c r="D105" s="20" t="str">
        <x:f>IF(G105="","",INDEX('Repeat Detail'!$Q$6:$Q$1005,$G105))</x:f>
      </x:c>
      <x:c r="E105" s="22" t="str">
        <x:f>IF(G105="","",IF(INDEX('Repeat Detail'!$R$6:$R$1005,$G105)=0,"n.a.",D105/INDEX('Repeat Detail'!$R$6:$R$1005,$G105)))</x:f>
      </x:c>
      <x:c r="F105" s="22" t="str">
        <x:f>IF(G105="","",IF(IF(AND(COUNTIF('Repeat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calls"),NA())=0,"n.a.",D105/IF(AND(COUNTIF('Repeat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105" t="str">
        <x:f>IF(99&gt;COUNTIF('Repeat Detail'!$A$6:$A$1005,"Topic"),"",MATCH("Topic",'Repeat Detail'!$A$6:$A$1005,0)+98)</x:f>
      </x:c>
    </x:row>
    <x:row r="106">
      <x:c r="A106" t="str">
        <x:f>IF(G106="","",INDEX('Repeat Detail'!$H$6:$H$1005,$G106))</x:f>
      </x:c>
      <x:c r="B106" s="20" t="str">
        <x:f>IF(G106="","",INDEX('Repeat Detail'!$O$6:$O$1005,$G106))</x:f>
      </x:c>
      <x:c r="C106" s="22" t="str">
        <x:f>IF(G106="","",IF(INDEX('Repeat Detail'!$P$6:$P$1005,$G106)=0,"n.a.",B106/INDEX('Repeat Detail'!$P$6:$P$1005,$G106)))</x:f>
      </x:c>
      <x:c r="D106" s="20" t="str">
        <x:f>IF(G106="","",INDEX('Repeat Detail'!$Q$6:$Q$1005,$G106))</x:f>
      </x:c>
      <x:c r="E106" s="22" t="str">
        <x:f>IF(G106="","",IF(INDEX('Repeat Detail'!$R$6:$R$1005,$G106)=0,"n.a.",D106/INDEX('Repeat Detail'!$R$6:$R$1005,$G106)))</x:f>
      </x:c>
      <x:c r="F106" s="22" t="str">
        <x:f>IF(G106="","",IF(IF(AND(COUNTIF('Repeat Detail'!$A$6:$A$1005,"Quality")=21,COUNTIF('Repeat Detail'!$A$6:$A$1005,"Menu")=12,COUNTIF('Repeat Detail'!$A$6:$A$1005,"Daily")=SUMIFS('Repeat Detail'!$O$6:$O$1005,'Repeat Detail'!$A$6:$A$1005,"Quality",'Repeat Detail'!$H$6:$H$1005,"Date span")),SUMIFS('Repeat Detail'!$O$6:$O$1005,'Repeat Detail'!$A$6:$A$1005,"Quality",'Repeat Detail'!$H$6:$H$1005,"Additional calls"),NA())=0,"n.a.",D106/IF(AND(COUNTIF('Repeat Detail'!$A$6:$A$1005,"Quality")=21,COUNTIF('Repeat Detail'!$A$6:$A$1005,"Menu")=12,COUNTIF('Repeat Detail'!$A$6:$A$1005,"Daily")=SUMIFS('Repeat Detail'!$O$6:$O$1005,'Repeat Detail'!$A$6:$A$1005,"Quality",'Repeat Detail'!$H$6:$H$1005,"Date span")),SUMIFS('Repeat Detail'!$O$6:$O$1005,'Repeat Detail'!$A$6:$A$1005,"Quality",'Repeat Detail'!$H$6:$H$1005,"Additional calls"),NA())))</x:f>
      </x:c>
      <x:c r="G106" t="str">
        <x:f>IF(100&gt;COUNTIF('Repeat Detail'!$A$6:$A$1005,"Topic"),"",MATCH("Topic",'Repeat Detail'!$A$6:$A$1005,0)+99)</x:f>
      </x:c>
    </x:row>
  </x:sheetData>
  <x:pageMargins left="0.7" right="0.7" top="0.75" bottom="0.75" header="0.3" footer="0.3"/>
</x:worksheet>
</file>

<file path=xl/worksheets/sheet4.xml><?xml version="1.0" encoding="utf-8"?>
<x:worksheet xmlns:x="http://schemas.openxmlformats.org/spreadsheetml/2006/main">
  <x:sheetPr>
    <x:tabColor rgb="FF233B53"/>
  </x:sheetPr>
  <x:sheetViews>
    <x:sheetView showGridLines="0" workbookViewId="0">
      <x:pane xSplit="4" ySplit="5" topLeftCell="E6" activePane="bottomRight" state="frozen"/>
    </x:sheetView>
  </x:sheetViews>
  <x:sheetFormatPr defaultRowHeight="15"/>
  <x:cols>
    <x:col min="1" max="1" width="18" hidden="0" customWidth="1"/>
    <x:col min="2" max="2" width="18" hidden="0" customWidth="1"/>
    <x:col min="3" max="3" width="19" hidden="0" customWidth="1"/>
    <x:col min="4" max="4" width="22" hidden="0" customWidth="1"/>
    <x:col min="5" max="5" width="24" hidden="0" customWidth="1"/>
    <x:col min="6" max="6" width="18" hidden="0" customWidth="1"/>
    <x:col min="7" max="7" width="18" hidden="0" customWidth="1"/>
    <x:col min="8" max="8" width="35"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70" hidden="0" customWidth="1"/>
    <x:col min="20" max="20" width="18" hidden="0" customWidth="1"/>
    <x:col min="21" max="21" width="18" hidden="0" customWidth="1"/>
    <x:col min="22" max="22" width="65" hidden="0" customWidth="1"/>
  </x:cols>
  <x:sheetData>
    <x:row r="1" ht="22" customHeight="1">
      <x:c r="A1" s="7"/>
      <x:c r="B1" s="7"/>
      <x:c r="C1" s="7"/>
      <x:c r="D1" s="7"/>
      <x:c r="E1" s="7"/>
      <x:c r="F1" s="7"/>
      <x:c r="G1" s="7"/>
      <x:c r="H1" s="7"/>
      <x:c r="I1" s="7"/>
      <x:c r="J1" s="7"/>
      <x:c r="K1" s="7"/>
      <x:c r="L1" s="7"/>
      <x:c r="M1" s="7"/>
      <x:c r="N1" s="7"/>
      <x:c r="O1" s="7"/>
      <x:c r="P1" s="7"/>
      <x:c r="Q1" s="7"/>
      <x:c r="R1" s="7"/>
      <x:c r="S1" s="7"/>
      <x:c r="T1" s="7"/>
      <x:c r="U1" s="7"/>
      <x:c r="V1" s="7"/>
    </x:row>
    <x:row r="2" ht="22" customHeight="1">
      <x:c r="A2" s="8" t="str">
        <x:v>Calculated results and repeat-call detail</x:v>
      </x:c>
      <x:c r="B2" s="7"/>
      <x:c r="C2" s="7"/>
      <x:c r="D2" s="7"/>
      <x:c r="E2" s="7"/>
      <x:c r="F2" s="7"/>
      <x:c r="G2" s="7"/>
      <x:c r="H2" s="7"/>
      <x:c r="I2" s="7"/>
      <x:c r="J2" s="7"/>
      <x:c r="K2" s="7"/>
      <x:c r="L2" s="7"/>
      <x:c r="M2" s="7"/>
      <x:c r="N2" s="7"/>
      <x:c r="O2" s="7"/>
      <x:c r="P2" s="7"/>
      <x:c r="Q2" s="7"/>
      <x:c r="R2" s="7"/>
      <x:c r="S2" s="7"/>
      <x:c r="T2" s="7"/>
      <x:c r="U2" s="7"/>
      <x:c r="V2" s="7"/>
    </x:row>
    <x:row r="3" ht="22" customHeight="1">
      <x:c r="A3" s="9"/>
      <x:c r="B3" s="9"/>
      <x:c r="C3" s="9"/>
      <x:c r="D3" s="9"/>
      <x:c r="E3" s="9"/>
      <x:c r="F3" s="9"/>
      <x:c r="G3" s="9"/>
      <x:c r="H3" s="9"/>
      <x:c r="I3" s="9"/>
      <x:c r="J3" s="9"/>
      <x:c r="K3" s="9"/>
      <x:c r="L3" s="9"/>
      <x:c r="M3" s="9"/>
      <x:c r="N3" s="9"/>
      <x:c r="O3" s="9"/>
      <x:c r="P3" s="9"/>
      <x:c r="Q3" s="9"/>
      <x:c r="R3" s="9"/>
      <x:c r="S3" s="9"/>
      <x:c r="T3" s="9"/>
      <x:c r="U3" s="9"/>
      <x:c r="V3" s="9"/>
    </x:row>
    <x:row r="4" ht="22" customHeight="1">
      <x:c r="A4" s="6" t="str">
        <x:v>Saved example summaries only. Paste data and activate the query to generate individual repeat-call rows, then filter Section to Repeat call.</x:v>
      </x:c>
      <x:c r="B4" s="7"/>
      <x:c r="C4" s="7"/>
      <x:c r="D4" s="7"/>
      <x:c r="E4" s="7"/>
      <x:c r="F4" s="7"/>
      <x:c r="G4" s="7"/>
      <x:c r="H4" s="7"/>
      <x:c r="I4" s="7"/>
      <x:c r="J4" s="7"/>
      <x:c r="K4" s="7"/>
      <x:c r="L4" s="7"/>
      <x:c r="M4" s="7"/>
      <x:c r="N4" s="7"/>
      <x:c r="O4" s="7"/>
      <x:c r="P4" s="7"/>
      <x:c r="Q4" s="7"/>
      <x:c r="R4" s="7"/>
      <x:c r="S4" s="7"/>
      <x:c r="T4" s="7"/>
      <x:c r="U4" s="7"/>
      <x:c r="V4" s="7"/>
    </x:row>
    <x:row r="5" ht="34" customHeight="1">
      <x:c r="A5" s="4" t="str">
        <x:v>Section</x:v>
      </x:c>
      <x:c r="B5" s="4" t="str">
        <x:v>Date</x:v>
      </x:c>
      <x:c r="C5" s="4" t="str">
        <x:v>Loan number</x:v>
      </x:c>
      <x:c r="D5" s="4" t="str">
        <x:v>Call ID</x:v>
      </x:c>
      <x:c r="E5" s="4" t="str">
        <x:v>Call start</x:v>
      </x:c>
      <x:c r="F5" s="4" t="str">
        <x:v>Sequence</x:v>
      </x:c>
      <x:c r="G5" s="4" t="str">
        <x:v>Gap minutes</x:v>
      </x:c>
      <x:c r="H5" s="4" t="str">
        <x:v>Label</x:v>
      </x:c>
      <x:c r="I5" s="4" t="str">
        <x:v>All calls</x:v>
      </x:c>
      <x:c r="J5" s="4" t="str">
        <x:v>Identifiable calls</x:v>
      </x:c>
      <x:c r="K5" s="4" t="str">
        <x:v>Unique loans</x:v>
      </x:c>
      <x:c r="L5" s="4" t="str">
        <x:v>Repeat loans</x:v>
      </x:c>
      <x:c r="M5" s="4" t="str">
        <x:v>Additional calls</x:v>
      </x:c>
      <x:c r="N5" s="4" t="str">
        <x:v>Calls from repeat loans</x:v>
      </x:c>
      <x:c r="O5" s="4" t="str">
        <x:v>Count</x:v>
      </x:c>
      <x:c r="P5" s="4" t="str">
        <x:v>Denominator</x:v>
      </x:c>
      <x:c r="Q5" s="4" t="str">
        <x:v>Repeat count</x:v>
      </x:c>
      <x:c r="R5" s="4" t="str">
        <x:v>Repeat denominator</x:v>
      </x:c>
      <x:c r="S5" s="4" t="str">
        <x:v>Utterance</x:v>
      </x:c>
      <x:c r="T5" s="4" t="str">
        <x:v>Source row</x:v>
      </x:c>
      <x:c r="U5" s="4" t="str">
        <x:v>Skill</x:v>
      </x:c>
      <x:c r="V5" s="4" t="str">
        <x:v>Transfer path</x:v>
      </x:c>
    </x:row>
    <x:row r="6" ht="22" customHeight="1">
      <x:c r="A6" s="7" t="str">
        <x:v>Daily</x:v>
      </x:c>
      <x:c r="B6" s="11" t="n">
        <x:v>46221</x:v>
      </x:c>
      <x:c r="C6" s="17"/>
      <x:c r="D6" s="17"/>
      <x:c r="E6" s="13"/>
      <x:c r="F6" s="7"/>
      <x:c r="G6" s="15"/>
      <x:c r="H6" s="7"/>
      <x:c r="I6" s="7" t="n">
        <x:v>1024</x:v>
      </x:c>
      <x:c r="J6" s="7" t="n">
        <x:v>866</x:v>
      </x:c>
      <x:c r="K6" s="7" t="n">
        <x:v>694</x:v>
      </x:c>
      <x:c r="L6" s="7" t="n">
        <x:v>132</x:v>
      </x:c>
      <x:c r="M6" s="7" t="n">
        <x:v>172</x:v>
      </x:c>
      <x:c r="N6" s="7" t="n">
        <x:v>304</x:v>
      </x:c>
      <x:c r="O6" s="7"/>
      <x:c r="P6" s="7"/>
      <x:c r="Q6" s="7"/>
      <x:c r="R6" s="7"/>
      <x:c r="S6" s="7"/>
      <x:c r="T6" s="7"/>
      <x:c r="U6" s="7"/>
      <x:c r="V6" s="7"/>
    </x:row>
    <x:row r="7" ht="22" customHeight="1">
      <x:c r="A7" s="7" t="str">
        <x:v>Daily</x:v>
      </x:c>
      <x:c r="B7" s="11" t="n">
        <x:v>46222</x:v>
      </x:c>
      <x:c r="C7" s="17"/>
      <x:c r="D7" s="17"/>
      <x:c r="E7" s="13"/>
      <x:c r="F7" s="7"/>
      <x:c r="G7" s="15"/>
      <x:c r="H7" s="7"/>
      <x:c r="I7" s="7" t="n">
        <x:v>356</x:v>
      </x:c>
      <x:c r="J7" s="7" t="n">
        <x:v>290</x:v>
      </x:c>
      <x:c r="K7" s="7" t="n">
        <x:v>237</x:v>
      </x:c>
      <x:c r="L7" s="7" t="n">
        <x:v>42</x:v>
      </x:c>
      <x:c r="M7" s="7" t="n">
        <x:v>53</x:v>
      </x:c>
      <x:c r="N7" s="7" t="n">
        <x:v>95</x:v>
      </x:c>
      <x:c r="O7" s="7"/>
      <x:c r="P7" s="7"/>
      <x:c r="Q7" s="7"/>
      <x:c r="R7" s="7"/>
      <x:c r="S7" s="7"/>
      <x:c r="T7" s="7"/>
      <x:c r="U7" s="7"/>
      <x:c r="V7" s="7"/>
    </x:row>
    <x:row r="8" ht="22" customHeight="1">
      <x:c r="A8" s="7" t="str">
        <x:v>Daily</x:v>
      </x:c>
      <x:c r="B8" s="11" t="n">
        <x:v>46223</x:v>
      </x:c>
      <x:c r="C8" s="17"/>
      <x:c r="D8" s="17"/>
      <x:c r="E8" s="13"/>
      <x:c r="F8" s="7"/>
      <x:c r="G8" s="15"/>
      <x:c r="H8" s="7"/>
      <x:c r="I8" s="7" t="n">
        <x:v>4915</x:v>
      </x:c>
      <x:c r="J8" s="7" t="n">
        <x:v>4204</x:v>
      </x:c>
      <x:c r="K8" s="7" t="n">
        <x:v>3234</x:v>
      </x:c>
      <x:c r="L8" s="7" t="n">
        <x:v>707</x:v>
      </x:c>
      <x:c r="M8" s="7" t="n">
        <x:v>970</x:v>
      </x:c>
      <x:c r="N8" s="7" t="n">
        <x:v>1677</x:v>
      </x:c>
      <x:c r="O8" s="7"/>
      <x:c r="P8" s="7"/>
      <x:c r="Q8" s="7"/>
      <x:c r="R8" s="7"/>
      <x:c r="S8" s="7"/>
      <x:c r="T8" s="7"/>
      <x:c r="U8" s="7"/>
      <x:c r="V8" s="7"/>
    </x:row>
    <x:row r="9" ht="22" customHeight="1">
      <x:c r="A9" s="7" t="str">
        <x:v>Daily</x:v>
      </x:c>
      <x:c r="B9" s="11" t="n">
        <x:v>46224</x:v>
      </x:c>
      <x:c r="C9" s="17"/>
      <x:c r="D9" s="17"/>
      <x:c r="E9" s="13"/>
      <x:c r="F9" s="7"/>
      <x:c r="G9" s="15"/>
      <x:c r="H9" s="7"/>
      <x:c r="I9" s="7" t="n">
        <x:v>4598</x:v>
      </x:c>
      <x:c r="J9" s="7" t="n">
        <x:v>3854</x:v>
      </x:c>
      <x:c r="K9" s="7" t="n">
        <x:v>2958</x:v>
      </x:c>
      <x:c r="L9" s="7" t="n">
        <x:v>632</x:v>
      </x:c>
      <x:c r="M9" s="7" t="n">
        <x:v>896</x:v>
      </x:c>
      <x:c r="N9" s="7" t="n">
        <x:v>1528</x:v>
      </x:c>
      <x:c r="O9" s="7"/>
      <x:c r="P9" s="7"/>
      <x:c r="Q9" s="7"/>
      <x:c r="R9" s="7"/>
      <x:c r="S9" s="7"/>
      <x:c r="T9" s="7"/>
      <x:c r="U9" s="7"/>
      <x:c r="V9" s="7"/>
    </x:row>
    <x:row r="10" ht="22" customHeight="1">
      <x:c r="A10" s="7" t="str">
        <x:v>Daily</x:v>
      </x:c>
      <x:c r="B10" s="11" t="n">
        <x:v>46225</x:v>
      </x:c>
      <x:c r="C10" s="17"/>
      <x:c r="D10" s="17"/>
      <x:c r="E10" s="13"/>
      <x:c r="F10" s="7"/>
      <x:c r="G10" s="15"/>
      <x:c r="H10" s="7"/>
      <x:c r="I10" s="7" t="n">
        <x:v>4471</x:v>
      </x:c>
      <x:c r="J10" s="7" t="n">
        <x:v>3827</x:v>
      </x:c>
      <x:c r="K10" s="7" t="n">
        <x:v>2986</x:v>
      </x:c>
      <x:c r="L10" s="7" t="n">
        <x:v>605</x:v>
      </x:c>
      <x:c r="M10" s="7" t="n">
        <x:v>841</x:v>
      </x:c>
      <x:c r="N10" s="7" t="n">
        <x:v>1446</x:v>
      </x:c>
      <x:c r="O10" s="7"/>
      <x:c r="P10" s="7"/>
      <x:c r="Q10" s="7"/>
      <x:c r="R10" s="7"/>
      <x:c r="S10" s="7"/>
      <x:c r="T10" s="7"/>
      <x:c r="U10" s="7"/>
      <x:c r="V10" s="7"/>
    </x:row>
    <x:row r="11" ht="22" customHeight="1">
      <x:c r="A11" s="7" t="str">
        <x:v>Daily</x:v>
      </x:c>
      <x:c r="B11" s="11" t="n">
        <x:v>46226</x:v>
      </x:c>
      <x:c r="C11" s="17"/>
      <x:c r="D11" s="17"/>
      <x:c r="E11" s="13"/>
      <x:c r="F11" s="7"/>
      <x:c r="G11" s="15"/>
      <x:c r="H11" s="7"/>
      <x:c r="I11" s="7" t="n">
        <x:v>4003</x:v>
      </x:c>
      <x:c r="J11" s="7" t="n">
        <x:v>3384</x:v>
      </x:c>
      <x:c r="K11" s="7" t="n">
        <x:v>2668</x:v>
      </x:c>
      <x:c r="L11" s="7" t="n">
        <x:v>518</x:v>
      </x:c>
      <x:c r="M11" s="7" t="n">
        <x:v>716</x:v>
      </x:c>
      <x:c r="N11" s="7" t="n">
        <x:v>1234</x:v>
      </x:c>
      <x:c r="O11" s="7"/>
      <x:c r="P11" s="7"/>
      <x:c r="Q11" s="7"/>
      <x:c r="R11" s="7"/>
      <x:c r="S11" s="7"/>
      <x:c r="T11" s="7"/>
      <x:c r="U11" s="7"/>
      <x:c r="V11" s="7"/>
    </x:row>
    <x:row r="12" ht="22" customHeight="1">
      <x:c r="A12" s="7" t="str">
        <x:v>Daily</x:v>
      </x:c>
      <x:c r="B12" s="11" t="n">
        <x:v>46227</x:v>
      </x:c>
      <x:c r="C12" s="17"/>
      <x:c r="D12" s="17"/>
      <x:c r="E12" s="13"/>
      <x:c r="F12" s="7"/>
      <x:c r="G12" s="15"/>
      <x:c r="H12" s="7"/>
      <x:c r="I12" s="7" t="n">
        <x:v>4487</x:v>
      </x:c>
      <x:c r="J12" s="7" t="n">
        <x:v>3852</x:v>
      </x:c>
      <x:c r="K12" s="7" t="n">
        <x:v>2996</x:v>
      </x:c>
      <x:c r="L12" s="7" t="n">
        <x:v>630</x:v>
      </x:c>
      <x:c r="M12" s="7" t="n">
        <x:v>856</x:v>
      </x:c>
      <x:c r="N12" s="7" t="n">
        <x:v>1486</x:v>
      </x:c>
      <x:c r="O12" s="7"/>
      <x:c r="P12" s="7"/>
      <x:c r="Q12" s="7"/>
      <x:c r="R12" s="7"/>
      <x:c r="S12" s="7"/>
      <x:c r="T12" s="7"/>
      <x:c r="U12" s="7"/>
      <x:c r="V12" s="7"/>
    </x:row>
    <x:row r="13" ht="22" customHeight="1">
      <x:c r="A13" s="7" t="str">
        <x:v>Daily</x:v>
      </x:c>
      <x:c r="B13" s="11" t="n">
        <x:v>46228</x:v>
      </x:c>
      <x:c r="C13" s="17"/>
      <x:c r="D13" s="17"/>
      <x:c r="E13" s="13"/>
      <x:c r="F13" s="7"/>
      <x:c r="G13" s="15"/>
      <x:c r="H13" s="7"/>
      <x:c r="I13" s="7" t="n">
        <x:v>973</x:v>
      </x:c>
      <x:c r="J13" s="7" t="n">
        <x:v>827</x:v>
      </x:c>
      <x:c r="K13" s="7" t="n">
        <x:v>657</x:v>
      </x:c>
      <x:c r="L13" s="7" t="n">
        <x:v>126</x:v>
      </x:c>
      <x:c r="M13" s="7" t="n">
        <x:v>170</x:v>
      </x:c>
      <x:c r="N13" s="7" t="n">
        <x:v>296</x:v>
      </x:c>
      <x:c r="O13" s="7"/>
      <x:c r="P13" s="7"/>
      <x:c r="Q13" s="7"/>
      <x:c r="R13" s="7"/>
      <x:c r="S13" s="7"/>
      <x:c r="T13" s="7"/>
      <x:c r="U13" s="7"/>
      <x:c r="V13" s="7"/>
    </x:row>
    <x:row r="14" ht="22" customHeight="1">
      <x:c r="A14" s="7" t="str">
        <x:v>Daily</x:v>
      </x:c>
      <x:c r="B14" s="11" t="n">
        <x:v>46229</x:v>
      </x:c>
      <x:c r="C14" s="17"/>
      <x:c r="D14" s="17"/>
      <x:c r="E14" s="13"/>
      <x:c r="F14" s="7"/>
      <x:c r="G14" s="15"/>
      <x:c r="H14" s="7"/>
      <x:c r="I14" s="7" t="n">
        <x:v>488</x:v>
      </x:c>
      <x:c r="J14" s="7" t="n">
        <x:v>397</x:v>
      </x:c>
      <x:c r="K14" s="7" t="n">
        <x:v>309</x:v>
      </x:c>
      <x:c r="L14" s="7" t="n">
        <x:v>63</x:v>
      </x:c>
      <x:c r="M14" s="7" t="n">
        <x:v>88</x:v>
      </x:c>
      <x:c r="N14" s="7" t="n">
        <x:v>151</x:v>
      </x:c>
      <x:c r="O14" s="7"/>
      <x:c r="P14" s="7"/>
      <x:c r="Q14" s="7"/>
      <x:c r="R14" s="7"/>
      <x:c r="S14" s="7"/>
      <x:c r="T14" s="7"/>
      <x:c r="U14" s="7"/>
      <x:c r="V14" s="7"/>
    </x:row>
    <x:row r="15" ht="22" customHeight="1">
      <x:c r="A15" s="7" t="str">
        <x:v>Daily</x:v>
      </x:c>
      <x:c r="B15" s="11" t="n">
        <x:v>46230</x:v>
      </x:c>
      <x:c r="C15" s="17"/>
      <x:c r="D15" s="17"/>
      <x:c r="E15" s="13"/>
      <x:c r="F15" s="7"/>
      <x:c r="G15" s="15"/>
      <x:c r="H15" s="7"/>
      <x:c r="I15" s="7" t="n">
        <x:v>5139</x:v>
      </x:c>
      <x:c r="J15" s="7" t="n">
        <x:v>4408</x:v>
      </x:c>
      <x:c r="K15" s="7" t="n">
        <x:v>3447</x:v>
      </x:c>
      <x:c r="L15" s="7" t="n">
        <x:v>718</x:v>
      </x:c>
      <x:c r="M15" s="7" t="n">
        <x:v>961</x:v>
      </x:c>
      <x:c r="N15" s="7" t="n">
        <x:v>1679</x:v>
      </x:c>
      <x:c r="O15" s="7"/>
      <x:c r="P15" s="7"/>
      <x:c r="Q15" s="7"/>
      <x:c r="R15" s="7"/>
      <x:c r="S15" s="7"/>
      <x:c r="T15" s="7"/>
      <x:c r="U15" s="7"/>
      <x:c r="V15" s="7"/>
    </x:row>
    <x:row r="16" ht="22" customHeight="1">
      <x:c r="A16" s="7" t="str">
        <x:v>Daily</x:v>
      </x:c>
      <x:c r="B16" s="11" t="n">
        <x:v>46231</x:v>
      </x:c>
      <x:c r="C16" s="17"/>
      <x:c r="D16" s="17"/>
      <x:c r="E16" s="13"/>
      <x:c r="F16" s="7"/>
      <x:c r="G16" s="15"/>
      <x:c r="H16" s="7"/>
      <x:c r="I16" s="7" t="n">
        <x:v>5407</x:v>
      </x:c>
      <x:c r="J16" s="7" t="n">
        <x:v>4695</x:v>
      </x:c>
      <x:c r="K16" s="7" t="n">
        <x:v>3532</x:v>
      </x:c>
      <x:c r="L16" s="7" t="n">
        <x:v>814</x:v>
      </x:c>
      <x:c r="M16" s="7" t="n">
        <x:v>1163</x:v>
      </x:c>
      <x:c r="N16" s="7" t="n">
        <x:v>1977</x:v>
      </x:c>
      <x:c r="O16" s="7"/>
      <x:c r="P16" s="7"/>
      <x:c r="Q16" s="7"/>
      <x:c r="R16" s="7"/>
      <x:c r="S16" s="7"/>
      <x:c r="T16" s="7"/>
      <x:c r="U16" s="7"/>
      <x:c r="V16" s="7"/>
    </x:row>
    <x:row r="17" ht="22" customHeight="1">
      <x:c r="A17" s="7" t="str">
        <x:v>Daily</x:v>
      </x:c>
      <x:c r="B17" s="11" t="n">
        <x:v>46232</x:v>
      </x:c>
      <x:c r="C17" s="17"/>
      <x:c r="D17" s="17"/>
      <x:c r="E17" s="13"/>
      <x:c r="F17" s="7"/>
      <x:c r="G17" s="15"/>
      <x:c r="H17" s="7"/>
      <x:c r="I17" s="7" t="n">
        <x:v>4807</x:v>
      </x:c>
      <x:c r="J17" s="7" t="n">
        <x:v>4149</x:v>
      </x:c>
      <x:c r="K17" s="7" t="n">
        <x:v>3291</x:v>
      </x:c>
      <x:c r="L17" s="7" t="n">
        <x:v>630</x:v>
      </x:c>
      <x:c r="M17" s="7" t="n">
        <x:v>858</x:v>
      </x:c>
      <x:c r="N17" s="7" t="n">
        <x:v>1488</x:v>
      </x:c>
      <x:c r="O17" s="7"/>
      <x:c r="P17" s="7"/>
      <x:c r="Q17" s="7"/>
      <x:c r="R17" s="7"/>
      <x:c r="S17" s="7"/>
      <x:c r="T17" s="7"/>
      <x:c r="U17" s="7"/>
      <x:c r="V17" s="7"/>
    </x:row>
    <x:row r="18" ht="22" customHeight="1">
      <x:c r="A18" s="7" t="str">
        <x:v>Daily</x:v>
      </x:c>
      <x:c r="B18" s="11" t="n">
        <x:v>46233</x:v>
      </x:c>
      <x:c r="C18" s="17"/>
      <x:c r="D18" s="17"/>
      <x:c r="E18" s="13"/>
      <x:c r="F18" s="7"/>
      <x:c r="G18" s="15"/>
      <x:c r="H18" s="7"/>
      <x:c r="I18" s="7" t="n">
        <x:v>5397</x:v>
      </x:c>
      <x:c r="J18" s="7" t="n">
        <x:v>4707</x:v>
      </x:c>
      <x:c r="K18" s="7" t="n">
        <x:v>3701</x:v>
      </x:c>
      <x:c r="L18" s="7" t="n">
        <x:v>741</x:v>
      </x:c>
      <x:c r="M18" s="7" t="n">
        <x:v>1006</x:v>
      </x:c>
      <x:c r="N18" s="7" t="n">
        <x:v>1747</x:v>
      </x:c>
      <x:c r="O18" s="7"/>
      <x:c r="P18" s="7"/>
      <x:c r="Q18" s="7"/>
      <x:c r="R18" s="7"/>
      <x:c r="S18" s="7"/>
      <x:c r="T18" s="7"/>
      <x:c r="U18" s="7"/>
      <x:c r="V18" s="7"/>
    </x:row>
    <x:row r="19" ht="22" customHeight="1">
      <x:c r="A19" s="7" t="str">
        <x:v>Daily</x:v>
      </x:c>
      <x:c r="B19" s="11" t="n">
        <x:v>46234</x:v>
      </x:c>
      <x:c r="C19" s="17"/>
      <x:c r="D19" s="17"/>
      <x:c r="E19" s="13"/>
      <x:c r="F19" s="7"/>
      <x:c r="G19" s="15"/>
      <x:c r="H19" s="7"/>
      <x:c r="I19" s="7" t="n">
        <x:v>7130</x:v>
      </x:c>
      <x:c r="J19" s="7" t="n">
        <x:v>6381</x:v>
      </x:c>
      <x:c r="K19" s="7" t="n">
        <x:v>5076</x:v>
      </x:c>
      <x:c r="L19" s="7" t="n">
        <x:v>976</x:v>
      </x:c>
      <x:c r="M19" s="7" t="n">
        <x:v>1305</x:v>
      </x:c>
      <x:c r="N19" s="7" t="n">
        <x:v>2281</x:v>
      </x:c>
      <x:c r="O19" s="7"/>
      <x:c r="P19" s="7"/>
      <x:c r="Q19" s="7"/>
      <x:c r="R19" s="7"/>
      <x:c r="S19" s="7"/>
      <x:c r="T19" s="7"/>
      <x:c r="U19" s="7"/>
      <x:c r="V19" s="7"/>
    </x:row>
    <x:row r="20" ht="22" customHeight="1">
      <x:c r="A20" s="7" t="str">
        <x:v>Daily</x:v>
      </x:c>
      <x:c r="B20" s="11" t="n">
        <x:v>46235</x:v>
      </x:c>
      <x:c r="C20" s="17"/>
      <x:c r="D20" s="17"/>
      <x:c r="E20" s="13"/>
      <x:c r="F20" s="7"/>
      <x:c r="G20" s="15"/>
      <x:c r="H20" s="7"/>
      <x:c r="I20" s="7" t="n">
        <x:v>3302</x:v>
      </x:c>
      <x:c r="J20" s="7" t="n">
        <x:v>3031</x:v>
      </x:c>
      <x:c r="K20" s="7" t="n">
        <x:v>2494</x:v>
      </x:c>
      <x:c r="L20" s="7" t="n">
        <x:v>407</x:v>
      </x:c>
      <x:c r="M20" s="7" t="n">
        <x:v>537</x:v>
      </x:c>
      <x:c r="N20" s="7" t="n">
        <x:v>944</x:v>
      </x:c>
      <x:c r="O20" s="7"/>
      <x:c r="P20" s="7"/>
      <x:c r="Q20" s="7"/>
      <x:c r="R20" s="7"/>
      <x:c r="S20" s="7"/>
      <x:c r="T20" s="7"/>
      <x:c r="U20" s="7"/>
      <x:c r="V20" s="7"/>
    </x:row>
    <x:row r="21" ht="22" customHeight="1">
      <x:c r="A21" s="7" t="str">
        <x:v>Daily</x:v>
      </x:c>
      <x:c r="B21" s="11" t="n">
        <x:v>46236</x:v>
      </x:c>
      <x:c r="C21" s="17"/>
      <x:c r="D21" s="17"/>
      <x:c r="E21" s="13"/>
      <x:c r="F21" s="7"/>
      <x:c r="G21" s="15"/>
      <x:c r="H21" s="7"/>
      <x:c r="I21" s="7" t="n">
        <x:v>1285</x:v>
      </x:c>
      <x:c r="J21" s="7" t="n">
        <x:v>1164</x:v>
      </x:c>
      <x:c r="K21" s="7" t="n">
        <x:v>1000</x:v>
      </x:c>
      <x:c r="L21" s="7" t="n">
        <x:v>130</x:v>
      </x:c>
      <x:c r="M21" s="7" t="n">
        <x:v>164</x:v>
      </x:c>
      <x:c r="N21" s="7" t="n">
        <x:v>294</x:v>
      </x:c>
      <x:c r="O21" s="7"/>
      <x:c r="P21" s="7"/>
      <x:c r="Q21" s="7"/>
      <x:c r="R21" s="7"/>
      <x:c r="S21" s="7"/>
      <x:c r="T21" s="7"/>
      <x:c r="U21" s="7"/>
      <x:c r="V21" s="7"/>
    </x:row>
    <x:row r="22" ht="22" customHeight="1">
      <x:c r="A22" s="7" t="str">
        <x:v>Daily</x:v>
      </x:c>
      <x:c r="B22" s="11" t="n">
        <x:v>46237</x:v>
      </x:c>
      <x:c r="C22" s="17"/>
      <x:c r="D22" s="17"/>
      <x:c r="E22" s="13"/>
      <x:c r="F22" s="7"/>
      <x:c r="G22" s="15"/>
      <x:c r="H22" s="7"/>
      <x:c r="I22" s="7" t="n">
        <x:v>8653</x:v>
      </x:c>
      <x:c r="J22" s="7" t="n">
        <x:v>7763</x:v>
      </x:c>
      <x:c r="K22" s="7" t="n">
        <x:v>6133</x:v>
      </x:c>
      <x:c r="L22" s="7" t="n">
        <x:v>1193</x:v>
      </x:c>
      <x:c r="M22" s="7" t="n">
        <x:v>1630</x:v>
      </x:c>
      <x:c r="N22" s="7" t="n">
        <x:v>2823</x:v>
      </x:c>
      <x:c r="O22" s="7"/>
      <x:c r="P22" s="7"/>
      <x:c r="Q22" s="7"/>
      <x:c r="R22" s="7"/>
      <x:c r="S22" s="7"/>
      <x:c r="T22" s="7"/>
      <x:c r="U22" s="7"/>
      <x:c r="V22" s="7"/>
    </x:row>
    <x:row r="23" ht="22" customHeight="1">
      <x:c r="A23" s="7" t="str">
        <x:v>Daily</x:v>
      </x:c>
      <x:c r="B23" s="11" t="n">
        <x:v>46238</x:v>
      </x:c>
      <x:c r="C23" s="17"/>
      <x:c r="D23" s="17"/>
      <x:c r="E23" s="13"/>
      <x:c r="F23" s="7"/>
      <x:c r="G23" s="15"/>
      <x:c r="H23" s="7"/>
      <x:c r="I23" s="7" t="n">
        <x:v>6755</x:v>
      </x:c>
      <x:c r="J23" s="7" t="n">
        <x:v>5842</x:v>
      </x:c>
      <x:c r="K23" s="7" t="n">
        <x:v>4600</x:v>
      </x:c>
      <x:c r="L23" s="7" t="n">
        <x:v>915</x:v>
      </x:c>
      <x:c r="M23" s="7" t="n">
        <x:v>1242</x:v>
      </x:c>
      <x:c r="N23" s="7" t="n">
        <x:v>2157</x:v>
      </x:c>
      <x:c r="O23" s="7"/>
      <x:c r="P23" s="7"/>
      <x:c r="Q23" s="7"/>
      <x:c r="R23" s="7"/>
      <x:c r="S23" s="7"/>
      <x:c r="T23" s="7"/>
      <x:c r="U23" s="7"/>
      <x:c r="V23" s="7"/>
    </x:row>
    <x:row r="24" ht="22" customHeight="1">
      <x:c r="A24" s="7" t="str">
        <x:v>Daily</x:v>
      </x:c>
      <x:c r="B24" s="11" t="n">
        <x:v>46239</x:v>
      </x:c>
      <x:c r="C24" s="17"/>
      <x:c r="D24" s="17"/>
      <x:c r="E24" s="13"/>
      <x:c r="F24" s="7"/>
      <x:c r="G24" s="15"/>
      <x:c r="H24" s="7"/>
      <x:c r="I24" s="7" t="n">
        <x:v>6414</x:v>
      </x:c>
      <x:c r="J24" s="7" t="n">
        <x:v>5605</x:v>
      </x:c>
      <x:c r="K24" s="7" t="n">
        <x:v>4347</x:v>
      </x:c>
      <x:c r="L24" s="7" t="n">
        <x:v>879</x:v>
      </x:c>
      <x:c r="M24" s="7" t="n">
        <x:v>1258</x:v>
      </x:c>
      <x:c r="N24" s="7" t="n">
        <x:v>2137</x:v>
      </x:c>
      <x:c r="O24" s="7"/>
      <x:c r="P24" s="7"/>
      <x:c r="Q24" s="7"/>
      <x:c r="R24" s="7"/>
      <x:c r="S24" s="7"/>
      <x:c r="T24" s="7"/>
      <x:c r="U24" s="7"/>
      <x:c r="V24" s="7"/>
    </x:row>
    <x:row r="25" ht="22" customHeight="1">
      <x:c r="A25" s="7" t="str">
        <x:v>Daily</x:v>
      </x:c>
      <x:c r="B25" s="11" t="n">
        <x:v>46240</x:v>
      </x:c>
      <x:c r="C25" s="17"/>
      <x:c r="D25" s="17"/>
      <x:c r="E25" s="13"/>
      <x:c r="F25" s="7"/>
      <x:c r="G25" s="15"/>
      <x:c r="H25" s="7"/>
      <x:c r="I25" s="7" t="n">
        <x:v>5869</x:v>
      </x:c>
      <x:c r="J25" s="7" t="n">
        <x:v>5054</x:v>
      </x:c>
      <x:c r="K25" s="7" t="n">
        <x:v>4040</x:v>
      </x:c>
      <x:c r="L25" s="7" t="n">
        <x:v>758</x:v>
      </x:c>
      <x:c r="M25" s="7" t="n">
        <x:v>1014</x:v>
      </x:c>
      <x:c r="N25" s="7" t="n">
        <x:v>1772</x:v>
      </x:c>
      <x:c r="O25" s="7"/>
      <x:c r="P25" s="7"/>
      <x:c r="Q25" s="7"/>
      <x:c r="R25" s="7"/>
      <x:c r="S25" s="7"/>
      <x:c r="T25" s="7"/>
      <x:c r="U25" s="7"/>
      <x:c r="V25" s="7"/>
    </x:row>
    <x:row r="26" ht="22" customHeight="1">
      <x:c r="A26" s="7" t="str">
        <x:v>Daily</x:v>
      </x:c>
      <x:c r="B26" s="11" t="n">
        <x:v>46241</x:v>
      </x:c>
      <x:c r="C26" s="17"/>
      <x:c r="D26" s="17"/>
      <x:c r="E26" s="13"/>
      <x:c r="F26" s="7"/>
      <x:c r="G26" s="15"/>
      <x:c r="H26" s="7"/>
      <x:c r="I26" s="7" t="n">
        <x:v>5914</x:v>
      </x:c>
      <x:c r="J26" s="7" t="n">
        <x:v>5021</x:v>
      </x:c>
      <x:c r="K26" s="7" t="n">
        <x:v>4027</x:v>
      </x:c>
      <x:c r="L26" s="7" t="n">
        <x:v>736</x:v>
      </x:c>
      <x:c r="M26" s="7" t="n">
        <x:v>994</x:v>
      </x:c>
      <x:c r="N26" s="7" t="n">
        <x:v>1730</x:v>
      </x:c>
      <x:c r="O26" s="7"/>
      <x:c r="P26" s="7"/>
      <x:c r="Q26" s="7"/>
      <x:c r="R26" s="7"/>
      <x:c r="S26" s="7"/>
      <x:c r="T26" s="7"/>
      <x:c r="U26" s="7"/>
      <x:c r="V26" s="7"/>
    </x:row>
    <x:row r="27" ht="22" customHeight="1">
      <x:c r="A27" s="7" t="str">
        <x:v>Daily</x:v>
      </x:c>
      <x:c r="B27" s="11" t="n">
        <x:v>46242</x:v>
      </x:c>
      <x:c r="C27" s="17"/>
      <x:c r="D27" s="17"/>
      <x:c r="E27" s="13"/>
      <x:c r="F27" s="7"/>
      <x:c r="G27" s="15"/>
      <x:c r="H27" s="7"/>
      <x:c r="I27" s="7" t="n">
        <x:v>1733</x:v>
      </x:c>
      <x:c r="J27" s="7" t="n">
        <x:v>1483</x:v>
      </x:c>
      <x:c r="K27" s="7" t="n">
        <x:v>1244</x:v>
      </x:c>
      <x:c r="L27" s="7" t="n">
        <x:v>192</x:v>
      </x:c>
      <x:c r="M27" s="7" t="n">
        <x:v>239</x:v>
      </x:c>
      <x:c r="N27" s="7" t="n">
        <x:v>431</x:v>
      </x:c>
      <x:c r="O27" s="7"/>
      <x:c r="P27" s="7"/>
      <x:c r="Q27" s="7"/>
      <x:c r="R27" s="7"/>
      <x:c r="S27" s="7"/>
      <x:c r="T27" s="7"/>
      <x:c r="U27" s="7"/>
      <x:c r="V27" s="7"/>
    </x:row>
    <x:row r="28" ht="22" customHeight="1">
      <x:c r="A28" s="7" t="str">
        <x:v>Daily</x:v>
      </x:c>
      <x:c r="B28" s="11" t="n">
        <x:v>46243</x:v>
      </x:c>
      <x:c r="C28" s="17"/>
      <x:c r="D28" s="17"/>
      <x:c r="E28" s="13"/>
      <x:c r="F28" s="7"/>
      <x:c r="G28" s="15"/>
      <x:c r="H28" s="7"/>
      <x:c r="I28" s="7" t="n">
        <x:v>782</x:v>
      </x:c>
      <x:c r="J28" s="7" t="n">
        <x:v>651</x:v>
      </x:c>
      <x:c r="K28" s="7" t="n">
        <x:v>552</x:v>
      </x:c>
      <x:c r="L28" s="7" t="n">
        <x:v>78</x:v>
      </x:c>
      <x:c r="M28" s="7" t="n">
        <x:v>99</x:v>
      </x:c>
      <x:c r="N28" s="7" t="n">
        <x:v>177</x:v>
      </x:c>
      <x:c r="O28" s="7"/>
      <x:c r="P28" s="7"/>
      <x:c r="Q28" s="7"/>
      <x:c r="R28" s="7"/>
      <x:c r="S28" s="7"/>
      <x:c r="T28" s="7"/>
      <x:c r="U28" s="7"/>
      <x:c r="V28" s="7"/>
    </x:row>
    <x:row r="29" ht="22" customHeight="1">
      <x:c r="A29" s="7" t="str">
        <x:v>Daily</x:v>
      </x:c>
      <x:c r="B29" s="11" t="n">
        <x:v>46244</x:v>
      </x:c>
      <x:c r="C29" s="17"/>
      <x:c r="D29" s="17"/>
      <x:c r="E29" s="13"/>
      <x:c r="F29" s="7"/>
      <x:c r="G29" s="15"/>
      <x:c r="H29" s="7"/>
      <x:c r="I29" s="7" t="n">
        <x:v>6780</x:v>
      </x:c>
      <x:c r="J29" s="7" t="n">
        <x:v>5787</x:v>
      </x:c>
      <x:c r="K29" s="7" t="n">
        <x:v>4574</x:v>
      </x:c>
      <x:c r="L29" s="7" t="n">
        <x:v>884</x:v>
      </x:c>
      <x:c r="M29" s="7" t="n">
        <x:v>1213</x:v>
      </x:c>
      <x:c r="N29" s="7" t="n">
        <x:v>2097</x:v>
      </x:c>
      <x:c r="O29" s="7"/>
      <x:c r="P29" s="7"/>
      <x:c r="Q29" s="7"/>
      <x:c r="R29" s="7"/>
      <x:c r="S29" s="7"/>
      <x:c r="T29" s="7"/>
      <x:c r="U29" s="7"/>
      <x:c r="V29" s="7"/>
    </x:row>
    <x:row r="30" ht="22" customHeight="1">
      <x:c r="A30" s="7" t="str">
        <x:v>Daily</x:v>
      </x:c>
      <x:c r="B30" s="11" t="n">
        <x:v>46245</x:v>
      </x:c>
      <x:c r="C30" s="17"/>
      <x:c r="D30" s="17"/>
      <x:c r="E30" s="13"/>
      <x:c r="F30" s="7"/>
      <x:c r="G30" s="15"/>
      <x:c r="H30" s="7"/>
      <x:c r="I30" s="7" t="n">
        <x:v>6776</x:v>
      </x:c>
      <x:c r="J30" s="7" t="n">
        <x:v>5756</x:v>
      </x:c>
      <x:c r="K30" s="7" t="n">
        <x:v>4534</x:v>
      </x:c>
      <x:c r="L30" s="7" t="n">
        <x:v>897</x:v>
      </x:c>
      <x:c r="M30" s="7" t="n">
        <x:v>1222</x:v>
      </x:c>
      <x:c r="N30" s="7" t="n">
        <x:v>2119</x:v>
      </x:c>
      <x:c r="O30" s="7"/>
      <x:c r="P30" s="7"/>
      <x:c r="Q30" s="7"/>
      <x:c r="R30" s="7"/>
      <x:c r="S30" s="7"/>
      <x:c r="T30" s="7"/>
      <x:c r="U30" s="7"/>
      <x:c r="V30" s="7"/>
    </x:row>
    <x:row r="31" ht="22" customHeight="1">
      <x:c r="A31" s="7" t="str">
        <x:v>Daily</x:v>
      </x:c>
      <x:c r="B31" s="11" t="n">
        <x:v>46246</x:v>
      </x:c>
      <x:c r="C31" s="17"/>
      <x:c r="D31" s="17"/>
      <x:c r="E31" s="13"/>
      <x:c r="F31" s="7"/>
      <x:c r="G31" s="15"/>
      <x:c r="H31" s="7"/>
      <x:c r="I31" s="7" t="n">
        <x:v>6268</x:v>
      </x:c>
      <x:c r="J31" s="7" t="n">
        <x:v>5324</x:v>
      </x:c>
      <x:c r="K31" s="7" t="n">
        <x:v>4274</x:v>
      </x:c>
      <x:c r="L31" s="7" t="n">
        <x:v>796</x:v>
      </x:c>
      <x:c r="M31" s="7" t="n">
        <x:v>1050</x:v>
      </x:c>
      <x:c r="N31" s="7" t="n">
        <x:v>1846</x:v>
      </x:c>
      <x:c r="O31" s="7"/>
      <x:c r="P31" s="7"/>
      <x:c r="Q31" s="7"/>
      <x:c r="R31" s="7"/>
      <x:c r="S31" s="7"/>
      <x:c r="T31" s="7"/>
      <x:c r="U31" s="7"/>
      <x:c r="V31" s="7"/>
    </x:row>
    <x:row r="32" ht="22" customHeight="1">
      <x:c r="A32" s="7" t="str">
        <x:v>Daily</x:v>
      </x:c>
      <x:c r="B32" s="11" t="n">
        <x:v>46247</x:v>
      </x:c>
      <x:c r="C32" s="17"/>
      <x:c r="D32" s="17"/>
      <x:c r="E32" s="13"/>
      <x:c r="F32" s="7"/>
      <x:c r="G32" s="15"/>
      <x:c r="H32" s="7"/>
      <x:c r="I32" s="7" t="n">
        <x:v>6589</x:v>
      </x:c>
      <x:c r="J32" s="7" t="n">
        <x:v>5560</x:v>
      </x:c>
      <x:c r="K32" s="7" t="n">
        <x:v>4404</x:v>
      </x:c>
      <x:c r="L32" s="7" t="n">
        <x:v>804</x:v>
      </x:c>
      <x:c r="M32" s="7" t="n">
        <x:v>1156</x:v>
      </x:c>
      <x:c r="N32" s="7" t="n">
        <x:v>1960</x:v>
      </x:c>
      <x:c r="O32" s="7"/>
      <x:c r="P32" s="7"/>
      <x:c r="Q32" s="7"/>
      <x:c r="R32" s="7"/>
      <x:c r="S32" s="7"/>
      <x:c r="T32" s="7"/>
      <x:c r="U32" s="7"/>
      <x:c r="V32" s="7"/>
    </x:row>
    <x:row r="33" ht="22" customHeight="1">
      <x:c r="A33" s="7" t="str">
        <x:v>Daily</x:v>
      </x:c>
      <x:c r="B33" s="11" t="n">
        <x:v>46248</x:v>
      </x:c>
      <x:c r="C33" s="17"/>
      <x:c r="D33" s="17"/>
      <x:c r="E33" s="13"/>
      <x:c r="F33" s="7"/>
      <x:c r="G33" s="15"/>
      <x:c r="H33" s="7"/>
      <x:c r="I33" s="7" t="n">
        <x:v>9536</x:v>
      </x:c>
      <x:c r="J33" s="7" t="n">
        <x:v>8368</x:v>
      </x:c>
      <x:c r="K33" s="7" t="n">
        <x:v>6598</x:v>
      </x:c>
      <x:c r="L33" s="7" t="n">
        <x:v>1301</x:v>
      </x:c>
      <x:c r="M33" s="7" t="n">
        <x:v>1770</x:v>
      </x:c>
      <x:c r="N33" s="7" t="n">
        <x:v>3071</x:v>
      </x:c>
      <x:c r="O33" s="7"/>
      <x:c r="P33" s="7"/>
      <x:c r="Q33" s="7"/>
      <x:c r="R33" s="7"/>
      <x:c r="S33" s="7"/>
      <x:c r="T33" s="7"/>
      <x:c r="U33" s="7"/>
      <x:c r="V33" s="7"/>
    </x:row>
    <x:row r="34" ht="22" customHeight="1">
      <x:c r="A34" s="7" t="str">
        <x:v>Daily</x:v>
      </x:c>
      <x:c r="B34" s="11" t="n">
        <x:v>46249</x:v>
      </x:c>
      <x:c r="C34" s="17"/>
      <x:c r="D34" s="17"/>
      <x:c r="E34" s="13"/>
      <x:c r="F34" s="7"/>
      <x:c r="G34" s="15"/>
      <x:c r="H34" s="7"/>
      <x:c r="I34" s="7" t="n">
        <x:v>3162</x:v>
      </x:c>
      <x:c r="J34" s="7" t="n">
        <x:v>2791</x:v>
      </x:c>
      <x:c r="K34" s="7" t="n">
        <x:v>2303</x:v>
      </x:c>
      <x:c r="L34" s="7" t="n">
        <x:v>350</x:v>
      </x:c>
      <x:c r="M34" s="7" t="n">
        <x:v>488</x:v>
      </x:c>
      <x:c r="N34" s="7" t="n">
        <x:v>838</x:v>
      </x:c>
      <x:c r="O34" s="7"/>
      <x:c r="P34" s="7"/>
      <x:c r="Q34" s="7"/>
      <x:c r="R34" s="7"/>
      <x:c r="S34" s="7"/>
      <x:c r="T34" s="7"/>
      <x:c r="U34" s="7"/>
      <x:c r="V34" s="7"/>
    </x:row>
    <x:row r="35" ht="22" customHeight="1">
      <x:c r="A35" s="7" t="str">
        <x:v>Daily</x:v>
      </x:c>
      <x:c r="B35" s="11" t="n">
        <x:v>46250</x:v>
      </x:c>
      <x:c r="C35" s="17"/>
      <x:c r="D35" s="17"/>
      <x:c r="E35" s="13"/>
      <x:c r="F35" s="7"/>
      <x:c r="G35" s="15"/>
      <x:c r="H35" s="7"/>
      <x:c r="I35" s="7" t="n">
        <x:v>1292</x:v>
      </x:c>
      <x:c r="J35" s="7" t="n">
        <x:v>1166</x:v>
      </x:c>
      <x:c r="K35" s="7" t="n">
        <x:v>988</x:v>
      </x:c>
      <x:c r="L35" s="7" t="n">
        <x:v>133</x:v>
      </x:c>
      <x:c r="M35" s="7" t="n">
        <x:v>178</x:v>
      </x:c>
      <x:c r="N35" s="7" t="n">
        <x:v>311</x:v>
      </x:c>
      <x:c r="O35" s="7"/>
      <x:c r="P35" s="7"/>
      <x:c r="Q35" s="7"/>
      <x:c r="R35" s="7"/>
      <x:c r="S35" s="7"/>
      <x:c r="T35" s="7"/>
      <x:c r="U35" s="7"/>
      <x:c r="V35" s="7"/>
    </x:row>
    <x:row r="36" ht="22" customHeight="1">
      <x:c r="A36" s="7" t="str">
        <x:v>Daily</x:v>
      </x:c>
      <x:c r="B36" s="11" t="n">
        <x:v>46251</x:v>
      </x:c>
      <x:c r="C36" s="17"/>
      <x:c r="D36" s="17"/>
      <x:c r="E36" s="13"/>
      <x:c r="F36" s="7"/>
      <x:c r="G36" s="15"/>
      <x:c r="H36" s="7"/>
      <x:c r="I36" s="7" t="n">
        <x:v>6555</x:v>
      </x:c>
      <x:c r="J36" s="7" t="n">
        <x:v>5511</x:v>
      </x:c>
      <x:c r="K36" s="7" t="n">
        <x:v>4266</x:v>
      </x:c>
      <x:c r="L36" s="7" t="n">
        <x:v>883</x:v>
      </x:c>
      <x:c r="M36" s="7" t="n">
        <x:v>1245</x:v>
      </x:c>
      <x:c r="N36" s="7" t="n">
        <x:v>2128</x:v>
      </x:c>
      <x:c r="O36" s="7"/>
      <x:c r="P36" s="7"/>
      <x:c r="Q36" s="7"/>
      <x:c r="R36" s="7"/>
      <x:c r="S36" s="7"/>
      <x:c r="T36" s="7"/>
      <x:c r="U36" s="7"/>
      <x:c r="V36" s="7"/>
    </x:row>
    <x:row r="37" ht="22" customHeight="1">
      <x:c r="A37" s="7" t="str">
        <x:v>Daily</x:v>
      </x:c>
      <x:c r="B37" s="11" t="n">
        <x:v>46252</x:v>
      </x:c>
      <x:c r="C37" s="17"/>
      <x:c r="D37" s="17"/>
      <x:c r="E37" s="13"/>
      <x:c r="F37" s="7"/>
      <x:c r="G37" s="15"/>
      <x:c r="H37" s="7"/>
      <x:c r="I37" s="7" t="n">
        <x:v>5067</x:v>
      </x:c>
      <x:c r="J37" s="7" t="n">
        <x:v>4272</x:v>
      </x:c>
      <x:c r="K37" s="7" t="n">
        <x:v>3275</x:v>
      </x:c>
      <x:c r="L37" s="7" t="n">
        <x:v>710</x:v>
      </x:c>
      <x:c r="M37" s="7" t="n">
        <x:v>997</x:v>
      </x:c>
      <x:c r="N37" s="7" t="n">
        <x:v>1707</x:v>
      </x:c>
      <x:c r="O37" s="7"/>
      <x:c r="P37" s="7"/>
      <x:c r="Q37" s="7"/>
      <x:c r="R37" s="7"/>
      <x:c r="S37" s="7"/>
      <x:c r="T37" s="7"/>
      <x:c r="U37" s="7"/>
      <x:c r="V37" s="7"/>
    </x:row>
    <x:row r="38" ht="22" customHeight="1">
      <x:c r="A38" s="7" t="str">
        <x:v>Daily</x:v>
      </x:c>
      <x:c r="B38" s="11" t="n">
        <x:v>46253</x:v>
      </x:c>
      <x:c r="C38" s="17"/>
      <x:c r="D38" s="17"/>
      <x:c r="E38" s="13"/>
      <x:c r="F38" s="7"/>
      <x:c r="G38" s="15"/>
      <x:c r="H38" s="7"/>
      <x:c r="I38" s="7" t="n">
        <x:v>4436</x:v>
      </x:c>
      <x:c r="J38" s="7" t="n">
        <x:v>3729</x:v>
      </x:c>
      <x:c r="K38" s="7" t="n">
        <x:v>2875</x:v>
      </x:c>
      <x:c r="L38" s="7" t="n">
        <x:v>613</x:v>
      </x:c>
      <x:c r="M38" s="7" t="n">
        <x:v>854</x:v>
      </x:c>
      <x:c r="N38" s="7" t="n">
        <x:v>1467</x:v>
      </x:c>
      <x:c r="O38" s="7"/>
      <x:c r="P38" s="7"/>
      <x:c r="Q38" s="7"/>
      <x:c r="R38" s="7"/>
      <x:c r="S38" s="7"/>
      <x:c r="T38" s="7"/>
      <x:c r="U38" s="7"/>
      <x:c r="V38" s="7"/>
    </x:row>
    <x:row r="39" ht="22" customHeight="1">
      <x:c r="A39" s="7" t="str">
        <x:v>Daily</x:v>
      </x:c>
      <x:c r="B39" s="11" t="n">
        <x:v>46254</x:v>
      </x:c>
      <x:c r="C39" s="17"/>
      <x:c r="D39" s="17"/>
      <x:c r="E39" s="13"/>
      <x:c r="F39" s="7"/>
      <x:c r="G39" s="15"/>
      <x:c r="H39" s="7"/>
      <x:c r="I39" s="7" t="n">
        <x:v>3865</x:v>
      </x:c>
      <x:c r="J39" s="7" t="n">
        <x:v>3145</x:v>
      </x:c>
      <x:c r="K39" s="7" t="n">
        <x:v>2510</x:v>
      </x:c>
      <x:c r="L39" s="7" t="n">
        <x:v>477</x:v>
      </x:c>
      <x:c r="M39" s="7" t="n">
        <x:v>635</x:v>
      </x:c>
      <x:c r="N39" s="7" t="n">
        <x:v>1112</x:v>
      </x:c>
      <x:c r="O39" s="7"/>
      <x:c r="P39" s="7"/>
      <x:c r="Q39" s="7"/>
      <x:c r="R39" s="7"/>
      <x:c r="S39" s="7"/>
      <x:c r="T39" s="7"/>
      <x:c r="U39" s="7"/>
      <x:c r="V39" s="7"/>
    </x:row>
    <x:row r="40" ht="22" customHeight="1">
      <x:c r="A40" s="7" t="str">
        <x:v>Daily</x:v>
      </x:c>
      <x:c r="B40" s="11" t="n">
        <x:v>46255</x:v>
      </x:c>
      <x:c r="C40" s="17"/>
      <x:c r="D40" s="17"/>
      <x:c r="E40" s="13"/>
      <x:c r="F40" s="7"/>
      <x:c r="G40" s="15"/>
      <x:c r="H40" s="7"/>
      <x:c r="I40" s="7" t="n">
        <x:v>4088</x:v>
      </x:c>
      <x:c r="J40" s="7" t="n">
        <x:v>3455</x:v>
      </x:c>
      <x:c r="K40" s="7" t="n">
        <x:v>2720</x:v>
      </x:c>
      <x:c r="L40" s="7" t="n">
        <x:v>539</x:v>
      </x:c>
      <x:c r="M40" s="7" t="n">
        <x:v>735</x:v>
      </x:c>
      <x:c r="N40" s="7" t="n">
        <x:v>1274</x:v>
      </x:c>
      <x:c r="O40" s="7"/>
      <x:c r="P40" s="7"/>
      <x:c r="Q40" s="7"/>
      <x:c r="R40" s="7"/>
      <x:c r="S40" s="7"/>
      <x:c r="T40" s="7"/>
      <x:c r="U40" s="7"/>
      <x:c r="V40" s="7"/>
    </x:row>
    <x:row r="41" ht="22" customHeight="1">
      <x:c r="A41" s="7" t="str">
        <x:v>Daily</x:v>
      </x:c>
      <x:c r="B41" s="11" t="n">
        <x:v>46256</x:v>
      </x:c>
      <x:c r="C41" s="17"/>
      <x:c r="D41" s="17"/>
      <x:c r="E41" s="13"/>
      <x:c r="F41" s="7"/>
      <x:c r="G41" s="15"/>
      <x:c r="H41" s="7"/>
      <x:c r="I41" s="7" t="n">
        <x:v>967</x:v>
      </x:c>
      <x:c r="J41" s="7" t="n">
        <x:v>813</x:v>
      </x:c>
      <x:c r="K41" s="7" t="n">
        <x:v>645</x:v>
      </x:c>
      <x:c r="L41" s="7" t="n">
        <x:v>125</x:v>
      </x:c>
      <x:c r="M41" s="7" t="n">
        <x:v>168</x:v>
      </x:c>
      <x:c r="N41" s="7" t="n">
        <x:v>293</x:v>
      </x:c>
      <x:c r="O41" s="7"/>
      <x:c r="P41" s="7"/>
      <x:c r="Q41" s="7"/>
      <x:c r="R41" s="7"/>
      <x:c r="S41" s="7"/>
      <x:c r="T41" s="7"/>
      <x:c r="U41" s="7"/>
      <x:c r="V41" s="7"/>
    </x:row>
    <x:row r="42" ht="22" customHeight="1">
      <x:c r="A42" s="7" t="str">
        <x:v>Daily</x:v>
      </x:c>
      <x:c r="B42" s="11" t="n">
        <x:v>46257</x:v>
      </x:c>
      <x:c r="C42" s="17"/>
      <x:c r="D42" s="17"/>
      <x:c r="E42" s="13"/>
      <x:c r="F42" s="7"/>
      <x:c r="G42" s="15"/>
      <x:c r="H42" s="7"/>
      <x:c r="I42" s="7" t="n">
        <x:v>317</x:v>
      </x:c>
      <x:c r="J42" s="7" t="n">
        <x:v>259</x:v>
      </x:c>
      <x:c r="K42" s="7" t="n">
        <x:v>216</x:v>
      </x:c>
      <x:c r="L42" s="7" t="n">
        <x:v>31</x:v>
      </x:c>
      <x:c r="M42" s="7" t="n">
        <x:v>43</x:v>
      </x:c>
      <x:c r="N42" s="7" t="n">
        <x:v>74</x:v>
      </x:c>
      <x:c r="O42" s="7"/>
      <x:c r="P42" s="7"/>
      <x:c r="Q42" s="7"/>
      <x:c r="R42" s="7"/>
      <x:c r="S42" s="7"/>
      <x:c r="T42" s="7"/>
      <x:c r="U42" s="7"/>
      <x:c r="V42" s="7"/>
    </x:row>
    <x:row r="43" ht="22" customHeight="1">
      <x:c r="A43" s="7" t="str">
        <x:v>Daily</x:v>
      </x:c>
      <x:c r="B43" s="11" t="n">
        <x:v>46258</x:v>
      </x:c>
      <x:c r="C43" s="17"/>
      <x:c r="D43" s="17"/>
      <x:c r="E43" s="13"/>
      <x:c r="F43" s="7"/>
      <x:c r="G43" s="15"/>
      <x:c r="H43" s="7"/>
      <x:c r="I43" s="7" t="n">
        <x:v>4585</x:v>
      </x:c>
      <x:c r="J43" s="7" t="n">
        <x:v>3912</x:v>
      </x:c>
      <x:c r="K43" s="7" t="n">
        <x:v>3127</x:v>
      </x:c>
      <x:c r="L43" s="7" t="n">
        <x:v>572</x:v>
      </x:c>
      <x:c r="M43" s="7" t="n">
        <x:v>785</x:v>
      </x:c>
      <x:c r="N43" s="7" t="n">
        <x:v>1357</x:v>
      </x:c>
      <x:c r="O43" s="7"/>
      <x:c r="P43" s="7"/>
      <x:c r="Q43" s="7"/>
      <x:c r="R43" s="7"/>
      <x:c r="S43" s="7"/>
      <x:c r="T43" s="7"/>
      <x:c r="U43" s="7"/>
      <x:c r="V43" s="7"/>
    </x:row>
    <x:row r="44" ht="22" customHeight="1">
      <x:c r="A44" s="7" t="str">
        <x:v>Daily</x:v>
      </x:c>
      <x:c r="B44" s="11" t="n">
        <x:v>46259</x:v>
      </x:c>
      <x:c r="C44" s="17"/>
      <x:c r="D44" s="17"/>
      <x:c r="E44" s="13"/>
      <x:c r="F44" s="7"/>
      <x:c r="G44" s="15"/>
      <x:c r="H44" s="7"/>
      <x:c r="I44" s="7" t="n">
        <x:v>4396</x:v>
      </x:c>
      <x:c r="J44" s="7" t="n">
        <x:v>3779</x:v>
      </x:c>
      <x:c r="K44" s="7" t="n">
        <x:v>2956</x:v>
      </x:c>
      <x:c r="L44" s="7" t="n">
        <x:v>613</x:v>
      </x:c>
      <x:c r="M44" s="7" t="n">
        <x:v>823</x:v>
      </x:c>
      <x:c r="N44" s="7" t="n">
        <x:v>1436</x:v>
      </x:c>
      <x:c r="O44" s="7"/>
      <x:c r="P44" s="7"/>
      <x:c r="Q44" s="7"/>
      <x:c r="R44" s="7"/>
      <x:c r="S44" s="7"/>
      <x:c r="T44" s="7"/>
      <x:c r="U44" s="7"/>
      <x:c r="V44" s="7"/>
    </x:row>
    <x:row r="45" ht="22" customHeight="1">
      <x:c r="A45" s="7" t="str">
        <x:v>Daily</x:v>
      </x:c>
      <x:c r="B45" s="11" t="n">
        <x:v>46260</x:v>
      </x:c>
      <x:c r="C45" s="17"/>
      <x:c r="D45" s="17"/>
      <x:c r="E45" s="13"/>
      <x:c r="F45" s="7"/>
      <x:c r="G45" s="15"/>
      <x:c r="H45" s="7"/>
      <x:c r="I45" s="7" t="n">
        <x:v>4166</x:v>
      </x:c>
      <x:c r="J45" s="7" t="n">
        <x:v>3483</x:v>
      </x:c>
      <x:c r="K45" s="7" t="n">
        <x:v>2706</x:v>
      </x:c>
      <x:c r="L45" s="7" t="n">
        <x:v>547</x:v>
      </x:c>
      <x:c r="M45" s="7" t="n">
        <x:v>777</x:v>
      </x:c>
      <x:c r="N45" s="7" t="n">
        <x:v>1324</x:v>
      </x:c>
      <x:c r="O45" s="7"/>
      <x:c r="P45" s="7"/>
      <x:c r="Q45" s="7"/>
      <x:c r="R45" s="7"/>
      <x:c r="S45" s="7"/>
      <x:c r="T45" s="7"/>
      <x:c r="U45" s="7"/>
      <x:c r="V45" s="7"/>
    </x:row>
    <x:row r="46">
      <x:c r="A46" t="str">
        <x:v>Daily</x:v>
      </x:c>
      <x:c r="B46" s="12" t="n">
        <x:v>46261</x:v>
      </x:c>
      <x:c r="C46" s="5"/>
      <x:c r="D46" s="5"/>
      <x:c r="E46" s="14"/>
      <x:c r="F46"/>
      <x:c r="G46" s="16"/>
      <x:c r="H46"/>
      <x:c r="I46" t="n">
        <x:v>4333</x:v>
      </x:c>
      <x:c r="J46" t="n">
        <x:v>3746</x:v>
      </x:c>
      <x:c r="K46" t="n">
        <x:v>2879</x:v>
      </x:c>
      <x:c r="L46" t="n">
        <x:v>610</x:v>
      </x:c>
      <x:c r="M46" t="n">
        <x:v>867</x:v>
      </x:c>
      <x:c r="N46" t="n">
        <x:v>1477</x:v>
      </x:c>
      <x:c r="O46"/>
      <x:c r="P46"/>
      <x:c r="Q46"/>
      <x:c r="R46"/>
      <x:c r="S46"/>
      <x:c r="T46"/>
      <x:c r="U46"/>
      <x:c r="V46"/>
    </x:row>
    <x:row r="47">
      <x:c r="A47" t="str">
        <x:v>Daily</x:v>
      </x:c>
      <x:c r="B47" s="12" t="n">
        <x:v>46262</x:v>
      </x:c>
      <x:c r="C47" s="5"/>
      <x:c r="D47" s="5"/>
      <x:c r="E47" s="14"/>
      <x:c r="F47"/>
      <x:c r="G47" s="16"/>
      <x:c r="H47"/>
      <x:c r="I47" t="n">
        <x:v>5261</x:v>
      </x:c>
      <x:c r="J47" t="n">
        <x:v>4591</x:v>
      </x:c>
      <x:c r="K47" t="n">
        <x:v>3259</x:v>
      </x:c>
      <x:c r="L47" t="n">
        <x:v>827</x:v>
      </x:c>
      <x:c r="M47" t="n">
        <x:v>1332</x:v>
      </x:c>
      <x:c r="N47" t="n">
        <x:v>2159</x:v>
      </x:c>
      <x:c r="O47"/>
      <x:c r="P47"/>
      <x:c r="Q47"/>
      <x:c r="R47"/>
      <x:c r="S47"/>
      <x:c r="T47"/>
      <x:c r="U47"/>
      <x:c r="V47"/>
    </x:row>
    <x:row r="48">
      <x:c r="A48" t="str">
        <x:v>Daily</x:v>
      </x:c>
      <x:c r="B48" s="12" t="n">
        <x:v>46263</x:v>
      </x:c>
      <x:c r="C48" s="5"/>
      <x:c r="D48" s="5"/>
      <x:c r="E48" s="14"/>
      <x:c r="F48"/>
      <x:c r="G48" s="16"/>
      <x:c r="H48"/>
      <x:c r="I48" t="n">
        <x:v>1425</x:v>
      </x:c>
      <x:c r="J48" t="n">
        <x:v>1252</x:v>
      </x:c>
      <x:c r="K48" t="n">
        <x:v>1022</x:v>
      </x:c>
      <x:c r="L48" t="n">
        <x:v>175</x:v>
      </x:c>
      <x:c r="M48" t="n">
        <x:v>230</x:v>
      </x:c>
      <x:c r="N48" t="n">
        <x:v>405</x:v>
      </x:c>
      <x:c r="O48"/>
      <x:c r="P48"/>
      <x:c r="Q48"/>
      <x:c r="R48"/>
      <x:c r="S48"/>
      <x:c r="T48"/>
      <x:c r="U48"/>
      <x:c r="V48"/>
    </x:row>
    <x:row r="49">
      <x:c r="A49" t="str">
        <x:v>Daily</x:v>
      </x:c>
      <x:c r="B49" s="12" t="n">
        <x:v>46264</x:v>
      </x:c>
      <x:c r="C49" s="5"/>
      <x:c r="D49" s="5"/>
      <x:c r="E49" s="14"/>
      <x:c r="F49"/>
      <x:c r="G49" s="16"/>
      <x:c r="H49"/>
      <x:c r="I49" t="n">
        <x:v>801</x:v>
      </x:c>
      <x:c r="J49" t="n">
        <x:v>721</x:v>
      </x:c>
      <x:c r="K49" t="n">
        <x:v>595</x:v>
      </x:c>
      <x:c r="L49" t="n">
        <x:v>98</x:v>
      </x:c>
      <x:c r="M49" t="n">
        <x:v>126</x:v>
      </x:c>
      <x:c r="N49" t="n">
        <x:v>224</x:v>
      </x:c>
      <x:c r="O49"/>
      <x:c r="P49"/>
      <x:c r="Q49"/>
      <x:c r="R49"/>
      <x:c r="S49"/>
      <x:c r="T49"/>
      <x:c r="U49"/>
      <x:c r="V49"/>
    </x:row>
    <x:row r="50">
      <x:c r="A50" t="str">
        <x:v>Daily</x:v>
      </x:c>
      <x:c r="B50" s="12" t="n">
        <x:v>46265</x:v>
      </x:c>
      <x:c r="C50" s="5"/>
      <x:c r="D50" s="5"/>
      <x:c r="E50" s="14"/>
      <x:c r="F50"/>
      <x:c r="G50" s="16"/>
      <x:c r="H50"/>
      <x:c r="I50" t="n">
        <x:v>7290</x:v>
      </x:c>
      <x:c r="J50" t="n">
        <x:v>6434</x:v>
      </x:c>
      <x:c r="K50" t="n">
        <x:v>4991</x:v>
      </x:c>
      <x:c r="L50" t="n">
        <x:v>1031</x:v>
      </x:c>
      <x:c r="M50" t="n">
        <x:v>1443</x:v>
      </x:c>
      <x:c r="N50" t="n">
        <x:v>2474</x:v>
      </x:c>
      <x:c r="O50"/>
      <x:c r="P50"/>
      <x:c r="Q50"/>
      <x:c r="R50"/>
      <x:c r="S50"/>
      <x:c r="T50"/>
      <x:c r="U50"/>
      <x:c r="V50"/>
    </x:row>
    <x:row r="51">
      <x:c r="A51" t="str">
        <x:v>Daily</x:v>
      </x:c>
      <x:c r="B51" s="12" t="n">
        <x:v>46266</x:v>
      </x:c>
      <x:c r="C51" s="5"/>
      <x:c r="D51" s="5"/>
      <x:c r="E51" s="14"/>
      <x:c r="F51"/>
      <x:c r="G51" s="16"/>
      <x:c r="H51"/>
      <x:c r="I51" t="n">
        <x:v>8109</x:v>
      </x:c>
      <x:c r="J51" t="n">
        <x:v>7280</x:v>
      </x:c>
      <x:c r="K51" t="n">
        <x:v>5755</x:v>
      </x:c>
      <x:c r="L51" t="n">
        <x:v>1081</x:v>
      </x:c>
      <x:c r="M51" t="n">
        <x:v>1525</x:v>
      </x:c>
      <x:c r="N51" t="n">
        <x:v>2606</x:v>
      </x:c>
      <x:c r="O51"/>
      <x:c r="P51"/>
      <x:c r="Q51"/>
      <x:c r="R51"/>
      <x:c r="S51"/>
      <x:c r="T51"/>
      <x:c r="U51"/>
      <x:c r="V51"/>
    </x:row>
    <x:row r="52">
      <x:c r="A52" t="str">
        <x:v>Daily</x:v>
      </x:c>
      <x:c r="B52" s="12" t="n">
        <x:v>46267</x:v>
      </x:c>
      <x:c r="C52" s="5"/>
      <x:c r="D52" s="5"/>
      <x:c r="E52" s="14"/>
      <x:c r="F52"/>
      <x:c r="G52" s="16"/>
      <x:c r="H52"/>
      <x:c r="I52" t="n">
        <x:v>6054</x:v>
      </x:c>
      <x:c r="J52" t="n">
        <x:v>5280</x:v>
      </x:c>
      <x:c r="K52" t="n">
        <x:v>4203</x:v>
      </x:c>
      <x:c r="L52" t="n">
        <x:v>789</x:v>
      </x:c>
      <x:c r="M52" t="n">
        <x:v>1077</x:v>
      </x:c>
      <x:c r="N52" t="n">
        <x:v>1866</x:v>
      </x:c>
      <x:c r="O52"/>
      <x:c r="P52"/>
      <x:c r="Q52"/>
      <x:c r="R52"/>
      <x:c r="S52"/>
      <x:c r="T52"/>
      <x:c r="U52"/>
      <x:c r="V52"/>
    </x:row>
    <x:row r="53">
      <x:c r="A53" t="str">
        <x:v>Daily</x:v>
      </x:c>
      <x:c r="B53" s="12" t="n">
        <x:v>46268</x:v>
      </x:c>
      <x:c r="C53" s="5"/>
      <x:c r="D53" s="5"/>
      <x:c r="E53" s="14"/>
      <x:c r="F53"/>
      <x:c r="G53" s="16"/>
      <x:c r="H53"/>
      <x:c r="I53" t="n">
        <x:v>5528</x:v>
      </x:c>
      <x:c r="J53" t="n">
        <x:v>4857</x:v>
      </x:c>
      <x:c r="K53" t="n">
        <x:v>3967</x:v>
      </x:c>
      <x:c r="L53" t="n">
        <x:v>676</x:v>
      </x:c>
      <x:c r="M53" t="n">
        <x:v>890</x:v>
      </x:c>
      <x:c r="N53" t="n">
        <x:v>1566</x:v>
      </x:c>
      <x:c r="O53"/>
      <x:c r="P53"/>
      <x:c r="Q53"/>
      <x:c r="R53"/>
      <x:c r="S53"/>
      <x:c r="T53"/>
      <x:c r="U53"/>
      <x:c r="V53"/>
    </x:row>
    <x:row r="54">
      <x:c r="A54" t="str">
        <x:v>Daily</x:v>
      </x:c>
      <x:c r="B54" s="12" t="n">
        <x:v>46269</x:v>
      </x:c>
      <x:c r="C54" s="5"/>
      <x:c r="D54" s="5"/>
      <x:c r="E54" s="14"/>
      <x:c r="F54"/>
      <x:c r="G54" s="16"/>
      <x:c r="H54"/>
      <x:c r="I54" t="n">
        <x:v>6002</x:v>
      </x:c>
      <x:c r="J54" t="n">
        <x:v>5203</x:v>
      </x:c>
      <x:c r="K54" t="n">
        <x:v>4129</x:v>
      </x:c>
      <x:c r="L54" t="n">
        <x:v>769</x:v>
      </x:c>
      <x:c r="M54" t="n">
        <x:v>1074</x:v>
      </x:c>
      <x:c r="N54" t="n">
        <x:v>1843</x:v>
      </x:c>
      <x:c r="O54"/>
      <x:c r="P54"/>
      <x:c r="Q54"/>
      <x:c r="R54"/>
      <x:c r="S54"/>
      <x:c r="T54"/>
      <x:c r="U54"/>
      <x:c r="V54"/>
    </x:row>
    <x:row r="55">
      <x:c r="A55" t="str">
        <x:v>Daily</x:v>
      </x:c>
      <x:c r="B55" s="12" t="n">
        <x:v>46270</x:v>
      </x:c>
      <x:c r="C55" s="5"/>
      <x:c r="D55" s="5"/>
      <x:c r="E55" s="14"/>
      <x:c r="F55"/>
      <x:c r="G55" s="16"/>
      <x:c r="H55"/>
      <x:c r="I55" t="n">
        <x:v>1630</x:v>
      </x:c>
      <x:c r="J55" t="n">
        <x:v>1424</x:v>
      </x:c>
      <x:c r="K55" t="n">
        <x:v>1179</x:v>
      </x:c>
      <x:c r="L55" t="n">
        <x:v>180</x:v>
      </x:c>
      <x:c r="M55" t="n">
        <x:v>245</x:v>
      </x:c>
      <x:c r="N55" t="n">
        <x:v>425</x:v>
      </x:c>
      <x:c r="O55"/>
      <x:c r="P55"/>
      <x:c r="Q55"/>
      <x:c r="R55"/>
      <x:c r="S55"/>
      <x:c r="T55"/>
      <x:c r="U55"/>
      <x:c r="V55"/>
    </x:row>
    <x:row r="56">
      <x:c r="A56" t="str">
        <x:v>Daily</x:v>
      </x:c>
      <x:c r="B56" s="12" t="n">
        <x:v>46271</x:v>
      </x:c>
      <x:c r="C56" s="5"/>
      <x:c r="D56" s="5"/>
      <x:c r="E56" s="14"/>
      <x:c r="F56"/>
      <x:c r="G56" s="16"/>
      <x:c r="H56"/>
      <x:c r="I56" t="n">
        <x:v>739</x:v>
      </x:c>
      <x:c r="J56" t="n">
        <x:v>648</x:v>
      </x:c>
      <x:c r="K56" t="n">
        <x:v>544</x:v>
      </x:c>
      <x:c r="L56" t="n">
        <x:v>79</x:v>
      </x:c>
      <x:c r="M56" t="n">
        <x:v>104</x:v>
      </x:c>
      <x:c r="N56" t="n">
        <x:v>183</x:v>
      </x:c>
      <x:c r="O56"/>
      <x:c r="P56"/>
      <x:c r="Q56"/>
      <x:c r="R56"/>
      <x:c r="S56"/>
      <x:c r="T56"/>
      <x:c r="U56"/>
      <x:c r="V56"/>
    </x:row>
    <x:row r="57">
      <x:c r="A57" t="str">
        <x:v>Daily</x:v>
      </x:c>
      <x:c r="B57" s="12" t="n">
        <x:v>46272</x:v>
      </x:c>
      <x:c r="C57" s="5"/>
      <x:c r="D57" s="5"/>
      <x:c r="E57" s="14"/>
      <x:c r="F57"/>
      <x:c r="G57" s="16"/>
      <x:c r="H57"/>
      <x:c r="I57" t="n">
        <x:v>1353</x:v>
      </x:c>
      <x:c r="J57" t="n">
        <x:v>1178</x:v>
      </x:c>
      <x:c r="K57" t="n">
        <x:v>1028</x:v>
      </x:c>
      <x:c r="L57" t="n">
        <x:v>119</x:v>
      </x:c>
      <x:c r="M57" t="n">
        <x:v>150</x:v>
      </x:c>
      <x:c r="N57" t="n">
        <x:v>269</x:v>
      </x:c>
      <x:c r="O57"/>
      <x:c r="P57"/>
      <x:c r="Q57"/>
      <x:c r="R57"/>
      <x:c r="S57"/>
      <x:c r="T57"/>
      <x:c r="U57"/>
      <x:c r="V57"/>
    </x:row>
    <x:row r="58">
      <x:c r="A58" t="str">
        <x:v>Daily</x:v>
      </x:c>
      <x:c r="B58" s="12" t="n">
        <x:v>46273</x:v>
      </x:c>
      <x:c r="C58" s="5"/>
      <x:c r="D58" s="5"/>
      <x:c r="E58" s="14"/>
      <x:c r="F58"/>
      <x:c r="G58" s="16"/>
      <x:c r="H58"/>
      <x:c r="I58" t="n">
        <x:v>6439</x:v>
      </x:c>
      <x:c r="J58" t="n">
        <x:v>5562</x:v>
      </x:c>
      <x:c r="K58" t="n">
        <x:v>4411</x:v>
      </x:c>
      <x:c r="L58" t="n">
        <x:v>858</x:v>
      </x:c>
      <x:c r="M58" t="n">
        <x:v>1151</x:v>
      </x:c>
      <x:c r="N58" t="n">
        <x:v>2009</x:v>
      </x:c>
      <x:c r="O58"/>
      <x:c r="P58"/>
      <x:c r="Q58"/>
      <x:c r="R58"/>
      <x:c r="S58"/>
      <x:c r="T58"/>
      <x:c r="U58"/>
      <x:c r="V58"/>
    </x:row>
    <x:row r="59">
      <x:c r="A59" t="str">
        <x:v>Daily</x:v>
      </x:c>
      <x:c r="B59" s="12" t="n">
        <x:v>46274</x:v>
      </x:c>
      <x:c r="C59" s="5"/>
      <x:c r="D59" s="5"/>
      <x:c r="E59" s="14"/>
      <x:c r="F59"/>
      <x:c r="G59" s="16"/>
      <x:c r="H59"/>
      <x:c r="I59" t="n">
        <x:v>6112</x:v>
      </x:c>
      <x:c r="J59" t="n">
        <x:v>5333</x:v>
      </x:c>
      <x:c r="K59" t="n">
        <x:v>4232</x:v>
      </x:c>
      <x:c r="L59" t="n">
        <x:v>787</x:v>
      </x:c>
      <x:c r="M59" t="n">
        <x:v>1101</x:v>
      </x:c>
      <x:c r="N59" t="n">
        <x:v>1888</x:v>
      </x:c>
      <x:c r="O59"/>
      <x:c r="P59"/>
      <x:c r="Q59"/>
      <x:c r="R59"/>
      <x:c r="S59"/>
      <x:c r="T59"/>
      <x:c r="U59"/>
      <x:c r="V59"/>
    </x:row>
    <x:row r="60">
      <x:c r="A60" t="str">
        <x:v>Daily</x:v>
      </x:c>
      <x:c r="B60" s="12" t="n">
        <x:v>46275</x:v>
      </x:c>
      <x:c r="C60" s="5"/>
      <x:c r="D60" s="5"/>
      <x:c r="E60" s="14"/>
      <x:c r="F60"/>
      <x:c r="G60" s="16"/>
      <x:c r="H60"/>
      <x:c r="I60" t="n">
        <x:v>5899</x:v>
      </x:c>
      <x:c r="J60" t="n">
        <x:v>5069</x:v>
      </x:c>
      <x:c r="K60" t="n">
        <x:v>4044</x:v>
      </x:c>
      <x:c r="L60" t="n">
        <x:v>732</x:v>
      </x:c>
      <x:c r="M60" t="n">
        <x:v>1025</x:v>
      </x:c>
      <x:c r="N60" t="n">
        <x:v>1757</x:v>
      </x:c>
      <x:c r="O60"/>
      <x:c r="P60"/>
      <x:c r="Q60"/>
      <x:c r="R60"/>
      <x:c r="S60"/>
      <x:c r="T60"/>
      <x:c r="U60"/>
      <x:c r="V60"/>
    </x:row>
    <x:row r="61">
      <x:c r="A61" t="str">
        <x:v>Daily</x:v>
      </x:c>
      <x:c r="B61" s="12" t="n">
        <x:v>46276</x:v>
      </x:c>
      <x:c r="C61" s="5"/>
      <x:c r="D61" s="5"/>
      <x:c r="E61" s="14"/>
      <x:c r="F61"/>
      <x:c r="G61" s="16"/>
      <x:c r="H61"/>
      <x:c r="I61" t="n">
        <x:v>5729</x:v>
      </x:c>
      <x:c r="J61" t="n">
        <x:v>4975</x:v>
      </x:c>
      <x:c r="K61" t="n">
        <x:v>4048</x:v>
      </x:c>
      <x:c r="L61" t="n">
        <x:v>672</x:v>
      </x:c>
      <x:c r="M61" t="n">
        <x:v>927</x:v>
      </x:c>
      <x:c r="N61" t="n">
        <x:v>1599</x:v>
      </x:c>
      <x:c r="O61"/>
      <x:c r="P61"/>
      <x:c r="Q61"/>
      <x:c r="R61"/>
      <x:c r="S61"/>
      <x:c r="T61"/>
      <x:c r="U61"/>
      <x:c r="V61"/>
    </x:row>
    <x:row r="62">
      <x:c r="A62" t="str">
        <x:v>Daily</x:v>
      </x:c>
      <x:c r="B62" s="12" t="n">
        <x:v>46277</x:v>
      </x:c>
      <x:c r="C62" s="5"/>
      <x:c r="D62" s="5"/>
      <x:c r="E62" s="14"/>
      <x:c r="F62"/>
      <x:c r="G62" s="16"/>
      <x:c r="H62"/>
      <x:c r="I62" t="n">
        <x:v>1779</x:v>
      </x:c>
      <x:c r="J62" t="n">
        <x:v>1557</x:v>
      </x:c>
      <x:c r="K62" t="n">
        <x:v>1297</x:v>
      </x:c>
      <x:c r="L62" t="n">
        <x:v>202</x:v>
      </x:c>
      <x:c r="M62" t="n">
        <x:v>260</x:v>
      </x:c>
      <x:c r="N62" t="n">
        <x:v>462</x:v>
      </x:c>
      <x:c r="O62"/>
      <x:c r="P62"/>
      <x:c r="Q62"/>
      <x:c r="R62"/>
      <x:c r="S62"/>
      <x:c r="T62"/>
      <x:c r="U62"/>
      <x:c r="V62"/>
    </x:row>
    <x:row r="63">
      <x:c r="A63" t="str">
        <x:v>Daily</x:v>
      </x:c>
      <x:c r="B63" s="12" t="n">
        <x:v>46278</x:v>
      </x:c>
      <x:c r="C63" s="5"/>
      <x:c r="D63" s="5"/>
      <x:c r="E63" s="14"/>
      <x:c r="F63"/>
      <x:c r="G63" s="16"/>
      <x:c r="H63"/>
      <x:c r="I63" t="n">
        <x:v>938</x:v>
      </x:c>
      <x:c r="J63" t="n">
        <x:v>837</x:v>
      </x:c>
      <x:c r="K63" t="n">
        <x:v>728</x:v>
      </x:c>
      <x:c r="L63" t="n">
        <x:v>83</x:v>
      </x:c>
      <x:c r="M63" t="n">
        <x:v>109</x:v>
      </x:c>
      <x:c r="N63" t="n">
        <x:v>192</x:v>
      </x:c>
      <x:c r="O63"/>
      <x:c r="P63"/>
      <x:c r="Q63"/>
      <x:c r="R63"/>
      <x:c r="S63"/>
      <x:c r="T63"/>
      <x:c r="U63"/>
      <x:c r="V63"/>
    </x:row>
    <x:row r="64">
      <x:c r="A64" t="str">
        <x:v>Daily</x:v>
      </x:c>
      <x:c r="B64" s="12" t="n">
        <x:v>46279</x:v>
      </x:c>
      <x:c r="C64" s="5"/>
      <x:c r="D64" s="5"/>
      <x:c r="E64" s="14"/>
      <x:c r="F64"/>
      <x:c r="G64" s="16"/>
      <x:c r="H64"/>
      <x:c r="I64" t="n">
        <x:v>7334</x:v>
      </x:c>
      <x:c r="J64" t="n">
        <x:v>6472</x:v>
      </x:c>
      <x:c r="K64" t="n">
        <x:v>5241</x:v>
      </x:c>
      <x:c r="L64" t="n">
        <x:v>886</x:v>
      </x:c>
      <x:c r="M64" t="n">
        <x:v>1231</x:v>
      </x:c>
      <x:c r="N64" t="n">
        <x:v>2117</x:v>
      </x:c>
      <x:c r="O64"/>
      <x:c r="P64"/>
      <x:c r="Q64"/>
      <x:c r="R64"/>
      <x:c r="S64"/>
      <x:c r="T64"/>
      <x:c r="U64"/>
      <x:c r="V64"/>
    </x:row>
    <x:row r="65">
      <x:c r="A65" t="str">
        <x:v>Daily</x:v>
      </x:c>
      <x:c r="B65" s="12" t="n">
        <x:v>46280</x:v>
      </x:c>
      <x:c r="C65" s="5"/>
      <x:c r="D65" s="5"/>
      <x:c r="E65" s="14"/>
      <x:c r="F65"/>
      <x:c r="G65" s="16"/>
      <x:c r="H65"/>
      <x:c r="I65" t="n">
        <x:v>8115</x:v>
      </x:c>
      <x:c r="J65" t="n">
        <x:v>7162</x:v>
      </x:c>
      <x:c r="K65" t="n">
        <x:v>5728</x:v>
      </x:c>
      <x:c r="L65" t="n">
        <x:v>1042</x:v>
      </x:c>
      <x:c r="M65" t="n">
        <x:v>1434</x:v>
      </x:c>
      <x:c r="N65" t="n">
        <x:v>2476</x:v>
      </x:c>
      <x:c r="O65"/>
      <x:c r="P65"/>
      <x:c r="Q65"/>
      <x:c r="R65"/>
      <x:c r="S65"/>
      <x:c r="T65"/>
      <x:c r="U65"/>
      <x:c r="V65"/>
    </x:row>
    <x:row r="66">
      <x:c r="A66" t="str">
        <x:v>Topic</x:v>
      </x:c>
      <x:c r="B66" s="12"/>
      <x:c r="C66" s="5"/>
      <x:c r="D66" s="5"/>
      <x:c r="E66" s="14"/>
      <x:c r="F66"/>
      <x:c r="G66" s="16"/>
      <x:c r="H66" t="str">
        <x:v>Payment</x:v>
      </x:c>
      <x:c r="I66"/>
      <x:c r="J66"/>
      <x:c r="K66"/>
      <x:c r="L66"/>
      <x:c r="M66"/>
      <x:c r="N66"/>
      <x:c r="O66" t="n">
        <x:v>17300</x:v>
      </x:c>
      <x:c r="P66" t="n">
        <x:v>70008</x:v>
      </x:c>
      <x:c r="Q66" t="n">
        <x:v>3718</x:v>
      </x:c>
      <x:c r="R66" t="n">
        <x:v>16005</x:v>
      </x:c>
      <x:c r="S66"/>
      <x:c r="T66"/>
      <x:c r="U66"/>
      <x:c r="V66"/>
    </x:row>
    <x:row r="67">
      <x:c r="A67" t="str">
        <x:v>Topic</x:v>
      </x:c>
      <x:c r="B67" s="12"/>
      <x:c r="C67" s="5"/>
      <x:c r="D67" s="5"/>
      <x:c r="E67" s="14"/>
      <x:c r="F67"/>
      <x:c r="G67" s="16"/>
      <x:c r="H67" t="str">
        <x:v>Escrow</x:v>
      </x:c>
      <x:c r="I67"/>
      <x:c r="J67"/>
      <x:c r="K67"/>
      <x:c r="L67"/>
      <x:c r="M67"/>
      <x:c r="N67"/>
      <x:c r="O67" t="n">
        <x:v>9487</x:v>
      </x:c>
      <x:c r="P67" t="n">
        <x:v>70008</x:v>
      </x:c>
      <x:c r="Q67" t="n">
        <x:v>2089</x:v>
      </x:c>
      <x:c r="R67" t="n">
        <x:v>16005</x:v>
      </x:c>
      <x:c r="S67"/>
      <x:c r="T67"/>
      <x:c r="U67"/>
      <x:c r="V67"/>
    </x:row>
    <x:row r="68">
      <x:c r="A68" t="str">
        <x:v>Topic</x:v>
      </x:c>
      <x:c r="B68" s="12"/>
      <x:c r="C68" s="5"/>
      <x:c r="D68" s="5"/>
      <x:c r="E68" s="14"/>
      <x:c r="F68"/>
      <x:c r="G68" s="16"/>
      <x:c r="H68" t="str">
        <x:v>Insurance / claims</x:v>
      </x:c>
      <x:c r="I68"/>
      <x:c r="J68"/>
      <x:c r="K68"/>
      <x:c r="L68"/>
      <x:c r="M68"/>
      <x:c r="N68"/>
      <x:c r="O68" t="n">
        <x:v>5701</x:v>
      </x:c>
      <x:c r="P68" t="n">
        <x:v>70008</x:v>
      </x:c>
      <x:c r="Q68" t="n">
        <x:v>1467</x:v>
      </x:c>
      <x:c r="R68" t="n">
        <x:v>16005</x:v>
      </x:c>
      <x:c r="S68"/>
      <x:c r="T68"/>
      <x:c r="U68"/>
      <x:c r="V68"/>
    </x:row>
    <x:row r="69">
      <x:c r="A69" t="str">
        <x:v>Topic</x:v>
      </x:c>
      <x:c r="B69" s="12"/>
      <x:c r="C69" s="5"/>
      <x:c r="D69" s="5"/>
      <x:c r="E69" s="14"/>
      <x:c r="F69"/>
      <x:c r="G69" s="16"/>
      <x:c r="H69" t="str">
        <x:v>Website / account access</x:v>
      </x:c>
      <x:c r="I69"/>
      <x:c r="J69"/>
      <x:c r="K69"/>
      <x:c r="L69"/>
      <x:c r="M69"/>
      <x:c r="N69"/>
      <x:c r="O69" t="n">
        <x:v>1628</x:v>
      </x:c>
      <x:c r="P69" t="n">
        <x:v>70008</x:v>
      </x:c>
      <x:c r="Q69" t="n">
        <x:v>361</x:v>
      </x:c>
      <x:c r="R69" t="n">
        <x:v>16005</x:v>
      </x:c>
      <x:c r="S69"/>
      <x:c r="T69"/>
      <x:c r="U69"/>
      <x:c r="V69"/>
    </x:row>
    <x:row r="70">
      <x:c r="A70" t="str">
        <x:v>Topic</x:v>
      </x:c>
      <x:c r="B70" s="12"/>
      <x:c r="C70" s="5"/>
      <x:c r="D70" s="5"/>
      <x:c r="E70" s="14"/>
      <x:c r="F70"/>
      <x:c r="G70" s="16"/>
      <x:c r="H70" t="str">
        <x:v>Documents / statements</x:v>
      </x:c>
      <x:c r="I70"/>
      <x:c r="J70"/>
      <x:c r="K70"/>
      <x:c r="L70"/>
      <x:c r="M70"/>
      <x:c r="N70"/>
      <x:c r="O70" t="n">
        <x:v>1510</x:v>
      </x:c>
      <x:c r="P70" t="n">
        <x:v>70008</x:v>
      </x:c>
      <x:c r="Q70" t="n">
        <x:v>329</x:v>
      </x:c>
      <x:c r="R70" t="n">
        <x:v>16005</x:v>
      </x:c>
      <x:c r="S70"/>
      <x:c r="T70"/>
      <x:c r="U70"/>
      <x:c r="V70"/>
    </x:row>
    <x:row r="71">
      <x:c r="A71" t="str">
        <x:v>Topic</x:v>
      </x:c>
      <x:c r="B71" s="12"/>
      <x:c r="C71" s="5"/>
      <x:c r="D71" s="5"/>
      <x:c r="E71" s="14"/>
      <x:c r="F71"/>
      <x:c r="G71" s="16"/>
      <x:c r="H71" t="str">
        <x:v>Payoff</x:v>
      </x:c>
      <x:c r="I71"/>
      <x:c r="J71"/>
      <x:c r="K71"/>
      <x:c r="L71"/>
      <x:c r="M71"/>
      <x:c r="N71"/>
      <x:c r="O71" t="n">
        <x:v>885</x:v>
      </x:c>
      <x:c r="P71" t="n">
        <x:v>70008</x:v>
      </x:c>
      <x:c r="Q71" t="n">
        <x:v>267</x:v>
      </x:c>
      <x:c r="R71" t="n">
        <x:v>16005</x:v>
      </x:c>
      <x:c r="S71"/>
      <x:c r="T71"/>
      <x:c r="U71"/>
      <x:c r="V71"/>
    </x:row>
    <x:row r="72">
      <x:c r="A72" t="str">
        <x:v>Topic</x:v>
      </x:c>
      <x:c r="B72" s="12"/>
      <x:c r="C72" s="5"/>
      <x:c r="D72" s="5"/>
      <x:c r="E72" s="14"/>
      <x:c r="F72"/>
      <x:c r="G72" s="16"/>
      <x:c r="H72" t="str">
        <x:v>Property taxes</x:v>
      </x:c>
      <x:c r="I72"/>
      <x:c r="J72"/>
      <x:c r="K72"/>
      <x:c r="L72"/>
      <x:c r="M72"/>
      <x:c r="N72"/>
      <x:c r="O72" t="n">
        <x:v>1398</x:v>
      </x:c>
      <x:c r="P72" t="n">
        <x:v>70008</x:v>
      </x:c>
      <x:c r="Q72" t="n">
        <x:v>268</x:v>
      </x:c>
      <x:c r="R72" t="n">
        <x:v>16005</x:v>
      </x:c>
      <x:c r="S72"/>
      <x:c r="T72"/>
      <x:c r="U72"/>
      <x:c r="V72"/>
    </x:row>
    <x:row r="73">
      <x:c r="A73" t="str">
        <x:v>Topic</x:v>
      </x:c>
      <x:c r="B73" s="12"/>
      <x:c r="C73" s="5"/>
      <x:c r="D73" s="5"/>
      <x:c r="E73" s="14"/>
      <x:c r="F73"/>
      <x:c r="G73" s="16"/>
      <x:c r="H73" t="str">
        <x:v>Automatic payments</x:v>
      </x:c>
      <x:c r="I73"/>
      <x:c r="J73"/>
      <x:c r="K73"/>
      <x:c r="L73"/>
      <x:c r="M73"/>
      <x:c r="N73"/>
      <x:c r="O73" t="n">
        <x:v>884</x:v>
      </x:c>
      <x:c r="P73" t="n">
        <x:v>70008</x:v>
      </x:c>
      <x:c r="Q73" t="n">
        <x:v>165</x:v>
      </x:c>
      <x:c r="R73" t="n">
        <x:v>16005</x:v>
      </x:c>
      <x:c r="S73"/>
      <x:c r="T73"/>
      <x:c r="U73"/>
      <x:c r="V73"/>
    </x:row>
    <x:row r="74">
      <x:c r="A74" t="str">
        <x:v>Topic</x:v>
      </x:c>
      <x:c r="B74" s="12"/>
      <x:c r="C74" s="5"/>
      <x:c r="D74" s="5"/>
      <x:c r="E74" s="14"/>
      <x:c r="F74"/>
      <x:c r="G74" s="16"/>
      <x:c r="H74" t="str">
        <x:v>Payment status</x:v>
      </x:c>
      <x:c r="I74"/>
      <x:c r="J74"/>
      <x:c r="K74"/>
      <x:c r="L74"/>
      <x:c r="M74"/>
      <x:c r="N74"/>
      <x:c r="O74" t="n">
        <x:v>1287</x:v>
      </x:c>
      <x:c r="P74" t="n">
        <x:v>70008</x:v>
      </x:c>
      <x:c r="Q74" t="n">
        <x:v>251</x:v>
      </x:c>
      <x:c r="R74" t="n">
        <x:v>16005</x:v>
      </x:c>
      <x:c r="S74"/>
      <x:c r="T74"/>
      <x:c r="U74"/>
      <x:c r="V74"/>
    </x:row>
    <x:row r="75">
      <x:c r="A75" t="str">
        <x:v>Topic</x:v>
      </x:c>
      <x:c r="B75" s="12"/>
      <x:c r="C75" s="5"/>
      <x:c r="D75" s="5"/>
      <x:c r="E75" s="14"/>
      <x:c r="F75"/>
      <x:c r="G75" s="16"/>
      <x:c r="H75" t="str">
        <x:v>Make a payment</x:v>
      </x:c>
      <x:c r="I75"/>
      <x:c r="J75"/>
      <x:c r="K75"/>
      <x:c r="L75"/>
      <x:c r="M75"/>
      <x:c r="N75"/>
      <x:c r="O75" t="n">
        <x:v>1302</x:v>
      </x:c>
      <x:c r="P75" t="n">
        <x:v>70008</x:v>
      </x:c>
      <x:c r="Q75" t="n">
        <x:v>270</x:v>
      </x:c>
      <x:c r="R75" t="n">
        <x:v>16005</x:v>
      </x:c>
      <x:c r="S75"/>
      <x:c r="T75"/>
      <x:c r="U75"/>
      <x:c r="V75"/>
    </x:row>
    <x:row r="76">
      <x:c r="A76" t="str">
        <x:v>Topic</x:v>
      </x:c>
      <x:c r="B76" s="12"/>
      <x:c r="C76" s="5"/>
      <x:c r="D76" s="5"/>
      <x:c r="E76" s="14"/>
      <x:c r="F76"/>
      <x:c r="G76" s="16"/>
      <x:c r="H76" t="str">
        <x:v>Payment increase / change</x:v>
      </x:c>
      <x:c r="I76"/>
      <x:c r="J76"/>
      <x:c r="K76"/>
      <x:c r="L76"/>
      <x:c r="M76"/>
      <x:c r="N76"/>
      <x:c r="O76" t="n">
        <x:v>166</x:v>
      </x:c>
      <x:c r="P76" t="n">
        <x:v>70008</x:v>
      </x:c>
      <x:c r="Q76" t="n">
        <x:v>38</x:v>
      </x:c>
      <x:c r="R76" t="n">
        <x:v>16005</x:v>
      </x:c>
      <x:c r="S76"/>
      <x:c r="T76"/>
      <x:c r="U76"/>
      <x:c r="V76"/>
    </x:row>
    <x:row r="77">
      <x:c r="A77" t="str">
        <x:v>Topic</x:v>
      </x:c>
      <x:c r="B77" s="12"/>
      <x:c r="C77" s="5"/>
      <x:c r="D77" s="5"/>
      <x:c r="E77" s="14"/>
      <x:c r="F77"/>
      <x:c r="G77" s="16"/>
      <x:c r="H77" t="str">
        <x:v>Mortgage assistance</x:v>
      </x:c>
      <x:c r="I77"/>
      <x:c r="J77"/>
      <x:c r="K77"/>
      <x:c r="L77"/>
      <x:c r="M77"/>
      <x:c r="N77"/>
      <x:c r="O77" t="n">
        <x:v>303</x:v>
      </x:c>
      <x:c r="P77" t="n">
        <x:v>70008</x:v>
      </x:c>
      <x:c r="Q77" t="n">
        <x:v>58</x:v>
      </x:c>
      <x:c r="R77" t="n">
        <x:v>16005</x:v>
      </x:c>
      <x:c r="S77"/>
      <x:c r="T77"/>
      <x:c r="U77"/>
      <x:c r="V77"/>
    </x:row>
    <x:row r="78">
      <x:c r="A78" t="str">
        <x:v>Topic</x:v>
      </x:c>
      <x:c r="B78" s="12"/>
      <x:c r="C78" s="5"/>
      <x:c r="D78" s="5"/>
      <x:c r="E78" s="14"/>
      <x:c r="F78"/>
      <x:c r="G78" s="16"/>
      <x:c r="H78" t="str">
        <x:v>Loan assumption / recast</x:v>
      </x:c>
      <x:c r="I78"/>
      <x:c r="J78"/>
      <x:c r="K78"/>
      <x:c r="L78"/>
      <x:c r="M78"/>
      <x:c r="N78"/>
      <x:c r="O78" t="n">
        <x:v>818</x:v>
      </x:c>
      <x:c r="P78" t="n">
        <x:v>70008</x:v>
      </x:c>
      <x:c r="Q78" t="n">
        <x:v>181</x:v>
      </x:c>
      <x:c r="R78" t="n">
        <x:v>16005</x:v>
      </x:c>
      <x:c r="S78"/>
      <x:c r="T78"/>
      <x:c r="U78"/>
      <x:c r="V78"/>
    </x:row>
    <x:row r="79">
      <x:c r="A79" t="str">
        <x:v>Topic</x:v>
      </x:c>
      <x:c r="B79" s="12"/>
      <x:c r="C79" s="5"/>
      <x:c r="D79" s="5"/>
      <x:c r="E79" s="14"/>
      <x:c r="F79"/>
      <x:c r="G79" s="16"/>
      <x:c r="H79" t="str">
        <x:v>Returning a call</x:v>
      </x:c>
      <x:c r="I79"/>
      <x:c r="J79"/>
      <x:c r="K79"/>
      <x:c r="L79"/>
      <x:c r="M79"/>
      <x:c r="N79"/>
      <x:c r="O79" t="n">
        <x:v>799</x:v>
      </x:c>
      <x:c r="P79" t="n">
        <x:v>70008</x:v>
      </x:c>
      <x:c r="Q79" t="n">
        <x:v>151</x:v>
      </x:c>
      <x:c r="R79" t="n">
        <x:v>16005</x:v>
      </x:c>
      <x:c r="S79"/>
      <x:c r="T79"/>
      <x:c r="U79"/>
      <x:c r="V79"/>
    </x:row>
    <x:row r="80">
      <x:c r="A80" t="str">
        <x:v>Topic</x:v>
      </x:c>
      <x:c r="B80" s="12"/>
      <x:c r="C80" s="5"/>
      <x:c r="D80" s="5"/>
      <x:c r="E80" s="14"/>
      <x:c r="F80"/>
      <x:c r="G80" s="16"/>
      <x:c r="H80" t="str">
        <x:v>Request for agent</x:v>
      </x:c>
      <x:c r="I80"/>
      <x:c r="J80"/>
      <x:c r="K80"/>
      <x:c r="L80"/>
      <x:c r="M80"/>
      <x:c r="N80"/>
      <x:c r="O80" t="n">
        <x:v>16001</x:v>
      </x:c>
      <x:c r="P80" t="n">
        <x:v>70008</x:v>
      </x:c>
      <x:c r="Q80" t="n">
        <x:v>3934</x:v>
      </x:c>
      <x:c r="R80" t="n">
        <x:v>16005</x:v>
      </x:c>
      <x:c r="S80"/>
      <x:c r="T80"/>
      <x:c r="U80"/>
      <x:c r="V80"/>
    </x:row>
    <x:row r="81">
      <x:c r="A81" t="str">
        <x:v>Menu</x:v>
      </x:c>
      <x:c r="B81" s="12"/>
      <x:c r="C81" s="5"/>
      <x:c r="D81" s="5"/>
      <x:c r="E81" s="14"/>
      <x:c r="F81"/>
      <x:c r="G81" s="16"/>
      <x:c r="H81" t="str">
        <x:v>Insurance.Escrow.Tax Menu</x:v>
      </x:c>
      <x:c r="I81"/>
      <x:c r="J81"/>
      <x:c r="K81"/>
      <x:c r="L81"/>
      <x:c r="M81"/>
      <x:c r="N81"/>
      <x:c r="O81" t="n">
        <x:v>29113</x:v>
      </x:c>
      <x:c r="P81" t="n">
        <x:v>263617</x:v>
      </x:c>
      <x:c r="Q81" t="n">
        <x:v>6317</x:v>
      </x:c>
      <x:c r="R81" t="n">
        <x:v>47672</x:v>
      </x:c>
      <x:c r="S81"/>
      <x:c r="T81"/>
      <x:c r="U81"/>
      <x:c r="V81"/>
    </x:row>
    <x:row r="82">
      <x:c r="A82" t="str">
        <x:v>Menu</x:v>
      </x:c>
      <x:c r="B82" s="12"/>
      <x:c r="C82" s="5"/>
      <x:c r="D82" s="5"/>
      <x:c r="E82" s="14"/>
      <x:c r="F82"/>
      <x:c r="G82" s="16"/>
      <x:c r="H82" t="str">
        <x:v>Payment IVR</x:v>
      </x:c>
      <x:c r="I82"/>
      <x:c r="J82"/>
      <x:c r="K82"/>
      <x:c r="L82"/>
      <x:c r="M82"/>
      <x:c r="N82"/>
      <x:c r="O82" t="n">
        <x:v>24302</x:v>
      </x:c>
      <x:c r="P82" t="n">
        <x:v>263617</x:v>
      </x:c>
      <x:c r="Q82" t="n">
        <x:v>3474</x:v>
      </x:c>
      <x:c r="R82" t="n">
        <x:v>47672</x:v>
      </x:c>
      <x:c r="S82"/>
      <x:c r="T82"/>
      <x:c r="U82"/>
      <x:c r="V82"/>
    </x:row>
    <x:row r="83">
      <x:c r="A83" t="str">
        <x:v>Menu</x:v>
      </x:c>
      <x:c r="B83" s="12"/>
      <x:c r="C83" s="5"/>
      <x:c r="D83" s="5"/>
      <x:c r="E83" s="14"/>
      <x:c r="F83"/>
      <x:c r="G83" s="16"/>
      <x:c r="H83" t="str">
        <x:v>Payoff</x:v>
      </x:c>
      <x:c r="I83"/>
      <x:c r="J83"/>
      <x:c r="K83"/>
      <x:c r="L83"/>
      <x:c r="M83"/>
      <x:c r="N83"/>
      <x:c r="O83" t="n">
        <x:v>8306</x:v>
      </x:c>
      <x:c r="P83" t="n">
        <x:v>263617</x:v>
      </x:c>
      <x:c r="Q83" t="n">
        <x:v>1931</x:v>
      </x:c>
      <x:c r="R83" t="n">
        <x:v>47672</x:v>
      </x:c>
      <x:c r="S83"/>
      <x:c r="T83"/>
      <x:c r="U83"/>
      <x:c r="V83"/>
    </x:row>
    <x:row r="84">
      <x:c r="A84" t="str">
        <x:v>Menu</x:v>
      </x:c>
      <x:c r="B84" s="12"/>
      <x:c r="C84" s="5"/>
      <x:c r="D84" s="5"/>
      <x:c r="E84" s="14"/>
      <x:c r="F84"/>
      <x:c r="G84" s="16"/>
      <x:c r="H84" t="str">
        <x:v>Loan Information</x:v>
      </x:c>
      <x:c r="I84"/>
      <x:c r="J84"/>
      <x:c r="K84"/>
      <x:c r="L84"/>
      <x:c r="M84"/>
      <x:c r="N84"/>
      <x:c r="O84" t="n">
        <x:v>5647</x:v>
      </x:c>
      <x:c r="P84" t="n">
        <x:v>263617</x:v>
      </x:c>
      <x:c r="Q84" t="n">
        <x:v>1126</x:v>
      </x:c>
      <x:c r="R84" t="n">
        <x:v>47672</x:v>
      </x:c>
      <x:c r="S84"/>
      <x:c r="T84"/>
      <x:c r="U84"/>
      <x:c r="V84"/>
    </x:row>
    <x:row r="85">
      <x:c r="A85" t="str">
        <x:v>Menu</x:v>
      </x:c>
      <x:c r="B85" s="12"/>
      <x:c r="C85" s="5"/>
      <x:c r="D85" s="5"/>
      <x:c r="E85" s="14"/>
      <x:c r="F85"/>
      <x:c r="G85" s="16"/>
      <x:c r="H85" t="str">
        <x:v>Servicing Digital Menu</x:v>
      </x:c>
      <x:c r="I85"/>
      <x:c r="J85"/>
      <x:c r="K85"/>
      <x:c r="L85"/>
      <x:c r="M85"/>
      <x:c r="N85"/>
      <x:c r="O85" t="n">
        <x:v>1381</x:v>
      </x:c>
      <x:c r="P85" t="n">
        <x:v>263617</x:v>
      </x:c>
      <x:c r="Q85" t="n">
        <x:v>324</x:v>
      </x:c>
      <x:c r="R85" t="n">
        <x:v>47672</x:v>
      </x:c>
      <x:c r="S85"/>
      <x:c r="T85"/>
      <x:c r="U85"/>
      <x:c r="V85"/>
    </x:row>
    <x:row r="86">
      <x:c r="A86" t="str">
        <x:v>Menu</x:v>
      </x:c>
      <x:c r="B86" s="12"/>
      <x:c r="C86" s="5"/>
      <x:c r="D86" s="5"/>
      <x:c r="E86" s="14"/>
      <x:c r="F86"/>
      <x:c r="G86" s="16"/>
      <x:c r="H86" t="str">
        <x:v>Loan Documents Menu</x:v>
      </x:c>
      <x:c r="I86"/>
      <x:c r="J86"/>
      <x:c r="K86"/>
      <x:c r="L86"/>
      <x:c r="M86"/>
      <x:c r="N86"/>
      <x:c r="O86" t="n">
        <x:v>1179</x:v>
      </x:c>
      <x:c r="P86" t="n">
        <x:v>263617</x:v>
      </x:c>
      <x:c r="Q86" t="n">
        <x:v>291</x:v>
      </x:c>
      <x:c r="R86" t="n">
        <x:v>47672</x:v>
      </x:c>
      <x:c r="S86"/>
      <x:c r="T86"/>
      <x:c r="U86"/>
      <x:c r="V86"/>
    </x:row>
    <x:row r="87">
      <x:c r="A87" t="str">
        <x:v>Menu</x:v>
      </x:c>
      <x:c r="B87" s="12"/>
      <x:c r="C87" s="5"/>
      <x:c r="D87" s="5"/>
      <x:c r="E87" s="14"/>
      <x:c r="F87"/>
      <x:c r="G87" s="16"/>
      <x:c r="H87" t="str">
        <x:v>Forms Request Menu</x:v>
      </x:c>
      <x:c r="I87"/>
      <x:c r="J87"/>
      <x:c r="K87"/>
      <x:c r="L87"/>
      <x:c r="M87"/>
      <x:c r="N87"/>
      <x:c r="O87" t="n">
        <x:v>154</x:v>
      </x:c>
      <x:c r="P87" t="n">
        <x:v>263617</x:v>
      </x:c>
      <x:c r="Q87" t="n">
        <x:v>53</x:v>
      </x:c>
      <x:c r="R87" t="n">
        <x:v>47672</x:v>
      </x:c>
      <x:c r="S87"/>
      <x:c r="T87"/>
      <x:c r="U87"/>
      <x:c r="V87"/>
    </x:row>
    <x:row r="88">
      <x:c r="A88" t="str">
        <x:v>Menu</x:v>
      </x:c>
      <x:c r="B88" s="12"/>
      <x:c r="C88" s="5"/>
      <x:c r="D88" s="5"/>
      <x:c r="E88" s="14"/>
      <x:c r="F88"/>
      <x:c r="G88" s="16"/>
      <x:c r="H88" t="str">
        <x:v>ACH</x:v>
      </x:c>
      <x:c r="I88"/>
      <x:c r="J88"/>
      <x:c r="K88"/>
      <x:c r="L88"/>
      <x:c r="M88"/>
      <x:c r="N88"/>
      <x:c r="O88" t="n">
        <x:v>125</x:v>
      </x:c>
      <x:c r="P88" t="n">
        <x:v>263617</x:v>
      </x:c>
      <x:c r="Q88" t="n">
        <x:v>36</x:v>
      </x:c>
      <x:c r="R88" t="n">
        <x:v>47672</x:v>
      </x:c>
      <x:c r="S88"/>
      <x:c r="T88"/>
      <x:c r="U88"/>
      <x:c r="V88"/>
    </x:row>
    <x:row r="89">
      <x:c r="A89" t="str">
        <x:v>Menu</x:v>
      </x:c>
      <x:c r="B89" s="12"/>
      <x:c r="C89" s="5"/>
      <x:c r="D89" s="5"/>
      <x:c r="E89" s="14"/>
      <x:c r="F89"/>
      <x:c r="G89" s="16"/>
      <x:c r="H89" t="str">
        <x:v>Representative Menu</x:v>
      </x:c>
      <x:c r="I89"/>
      <x:c r="J89"/>
      <x:c r="K89"/>
      <x:c r="L89"/>
      <x:c r="M89"/>
      <x:c r="N89"/>
      <x:c r="O89" t="n">
        <x:v>53370</x:v>
      </x:c>
      <x:c r="P89" t="n">
        <x:v>263617</x:v>
      </x:c>
      <x:c r="Q89" t="n">
        <x:v>13163</x:v>
      </x:c>
      <x:c r="R89" t="n">
        <x:v>47672</x:v>
      </x:c>
      <x:c r="S89"/>
      <x:c r="T89"/>
      <x:c r="U89"/>
      <x:c r="V89"/>
    </x:row>
    <x:row r="90">
      <x:c r="A90" t="str">
        <x:v>Menu</x:v>
      </x:c>
      <x:c r="B90" s="12"/>
      <x:c r="C90" s="5"/>
      <x:c r="D90" s="5"/>
      <x:c r="E90" s="14"/>
      <x:c r="F90"/>
      <x:c r="G90" s="16"/>
      <x:c r="H90" t="str">
        <x:v>Return to Main Menu</x:v>
      </x:c>
      <x:c r="I90"/>
      <x:c r="J90"/>
      <x:c r="K90"/>
      <x:c r="L90"/>
      <x:c r="M90"/>
      <x:c r="N90"/>
      <x:c r="O90" t="n">
        <x:v>577</x:v>
      </x:c>
      <x:c r="P90" t="n">
        <x:v>263617</x:v>
      </x:c>
      <x:c r="Q90" t="n">
        <x:v>127</x:v>
      </x:c>
      <x:c r="R90" t="n">
        <x:v>47672</x:v>
      </x:c>
      <x:c r="S90"/>
      <x:c r="T90"/>
      <x:c r="U90"/>
      <x:c r="V90"/>
    </x:row>
    <x:row r="91">
      <x:c r="A91" t="str">
        <x:v>Menu</x:v>
      </x:c>
      <x:c r="B91" s="12"/>
      <x:c r="C91" s="5"/>
      <x:c r="D91" s="5"/>
      <x:c r="E91" s="14"/>
      <x:c r="F91"/>
      <x:c r="G91" s="16"/>
      <x:c r="H91" t="str">
        <x:v>No recorded menu</x:v>
      </x:c>
      <x:c r="I91"/>
      <x:c r="J91"/>
      <x:c r="K91"/>
      <x:c r="L91"/>
      <x:c r="M91"/>
      <x:c r="N91"/>
      <x:c r="O91" t="n">
        <x:v>139463</x:v>
      </x:c>
      <x:c r="P91" t="n">
        <x:v>263617</x:v>
      </x:c>
      <x:c r="Q91" t="n">
        <x:v>20830</x:v>
      </x:c>
      <x:c r="R91" t="n">
        <x:v>47672</x:v>
      </x:c>
      <x:c r="S91"/>
      <x:c r="T91"/>
      <x:c r="U91"/>
      <x:c r="V91"/>
    </x:row>
    <x:row r="92">
      <x:c r="A92" t="str">
        <x:v>Menu</x:v>
      </x:c>
      <x:c r="B92" s="12"/>
      <x:c r="C92" s="5"/>
      <x:c r="D92" s="5"/>
      <x:c r="E92" s="14"/>
      <x:c r="F92"/>
      <x:c r="G92" s="16"/>
      <x:c r="H92" t="str">
        <x:v>Other menu</x:v>
      </x:c>
      <x:c r="I92"/>
      <x:c r="J92"/>
      <x:c r="K92"/>
      <x:c r="L92"/>
      <x:c r="M92"/>
      <x:c r="N92"/>
      <x:c r="O92" t="n">
        <x:v>0</x:v>
      </x:c>
      <x:c r="P92" t="n">
        <x:v>263617</x:v>
      </x:c>
      <x:c r="Q92" t="n">
        <x:v>0</x:v>
      </x:c>
      <x:c r="R92" t="n">
        <x:v>47672</x:v>
      </x:c>
      <x:c r="S92"/>
      <x:c r="T92"/>
      <x:c r="U92"/>
      <x:c r="V92"/>
    </x:row>
    <x:row r="93">
      <x:c r="A93" t="str">
        <x:v>Quality</x:v>
      </x:c>
      <x:c r="B93" s="12"/>
      <x:c r="C93" s="5"/>
      <x:c r="D93" s="5"/>
      <x:c r="E93" s="14"/>
      <x:c r="F93"/>
      <x:c r="G93" s="16"/>
      <x:c r="H93" t="str">
        <x:v>Loaded rows</x:v>
      </x:c>
      <x:c r="I93"/>
      <x:c r="J93"/>
      <x:c r="K93"/>
      <x:c r="L93"/>
      <x:c r="M93"/>
      <x:c r="N93"/>
      <x:c r="O93" t="n">
        <x:v>263617</x:v>
      </x:c>
      <x:c r="P93"/>
      <x:c r="Q93"/>
      <x:c r="R93"/>
      <x:c r="S93"/>
      <x:c r="T93"/>
      <x:c r="U93"/>
      <x:c r="V93"/>
    </x:row>
    <x:row r="94">
      <x:c r="A94" t="str">
        <x:v>Quality</x:v>
      </x:c>
      <x:c r="B94" s="12"/>
      <x:c r="C94" s="5"/>
      <x:c r="D94" s="5"/>
      <x:c r="E94" s="14"/>
      <x:c r="F94"/>
      <x:c r="G94" s="16"/>
      <x:c r="H94" t="str">
        <x:v>Missing call IDs</x:v>
      </x:c>
      <x:c r="I94"/>
      <x:c r="J94"/>
      <x:c r="K94"/>
      <x:c r="L94"/>
      <x:c r="M94"/>
      <x:c r="N94"/>
      <x:c r="O94" t="n">
        <x:v>0</x:v>
      </x:c>
      <x:c r="P94"/>
      <x:c r="Q94"/>
      <x:c r="R94"/>
      <x:c r="S94"/>
      <x:c r="T94"/>
      <x:c r="U94"/>
      <x:c r="V94"/>
    </x:row>
    <x:row r="95">
      <x:c r="A95" t="str">
        <x:v>Quality</x:v>
      </x:c>
      <x:c r="B95" s="12"/>
      <x:c r="C95" s="5"/>
      <x:c r="D95" s="5"/>
      <x:c r="E95" s="14"/>
      <x:c r="F95"/>
      <x:c r="G95" s="16"/>
      <x:c r="H95" t="str">
        <x:v>Duplicate IDs removed</x:v>
      </x:c>
      <x:c r="I95"/>
      <x:c r="J95"/>
      <x:c r="K95"/>
      <x:c r="L95"/>
      <x:c r="M95"/>
      <x:c r="N95"/>
      <x:c r="O95" t="n">
        <x:v>0</x:v>
      </x:c>
      <x:c r="P95"/>
      <x:c r="Q95"/>
      <x:c r="R95"/>
      <x:c r="S95"/>
      <x:c r="T95"/>
      <x:c r="U95"/>
      <x:c r="V95"/>
    </x:row>
    <x:row r="96">
      <x:c r="A96" t="str">
        <x:v>Quality</x:v>
      </x:c>
      <x:c r="B96" s="12"/>
      <x:c r="C96" s="5"/>
      <x:c r="D96" s="5"/>
      <x:c r="E96" s="14"/>
      <x:c r="F96"/>
      <x:c r="G96" s="16"/>
      <x:c r="H96" t="str">
        <x:v>Unique calls</x:v>
      </x:c>
      <x:c r="I96"/>
      <x:c r="J96"/>
      <x:c r="K96"/>
      <x:c r="L96"/>
      <x:c r="M96"/>
      <x:c r="N96"/>
      <x:c r="O96" t="n">
        <x:v>263617</x:v>
      </x:c>
      <x:c r="P96"/>
      <x:c r="Q96"/>
      <x:c r="R96"/>
      <x:c r="S96"/>
      <x:c r="T96"/>
      <x:c r="U96"/>
      <x:c r="V96"/>
    </x:row>
    <x:row r="97">
      <x:c r="A97" t="str">
        <x:v>Quality</x:v>
      </x:c>
      <x:c r="B97" s="12"/>
      <x:c r="C97" s="5"/>
      <x:c r="D97" s="5"/>
      <x:c r="E97" s="14"/>
      <x:c r="F97"/>
      <x:c r="G97" s="16"/>
      <x:c r="H97" t="str">
        <x:v>Invalid dates excluded</x:v>
      </x:c>
      <x:c r="I97"/>
      <x:c r="J97"/>
      <x:c r="K97"/>
      <x:c r="L97"/>
      <x:c r="M97"/>
      <x:c r="N97"/>
      <x:c r="O97" t="n">
        <x:v>0</x:v>
      </x:c>
      <x:c r="P97"/>
      <x:c r="Q97"/>
      <x:c r="R97"/>
      <x:c r="S97"/>
      <x:c r="T97"/>
      <x:c r="U97"/>
      <x:c r="V97"/>
    </x:row>
    <x:row r="98">
      <x:c r="A98" t="str">
        <x:v>Quality</x:v>
      </x:c>
      <x:c r="B98" s="12"/>
      <x:c r="C98" s="5"/>
      <x:c r="D98" s="5"/>
      <x:c r="E98" s="14"/>
      <x:c r="F98"/>
      <x:c r="G98" s="16"/>
      <x:c r="H98" t="str">
        <x:v>Calls with valid dates</x:v>
      </x:c>
      <x:c r="I98"/>
      <x:c r="J98"/>
      <x:c r="K98"/>
      <x:c r="L98"/>
      <x:c r="M98"/>
      <x:c r="N98"/>
      <x:c r="O98" t="n">
        <x:v>263617</x:v>
      </x:c>
      <x:c r="P98"/>
      <x:c r="Q98"/>
      <x:c r="R98"/>
      <x:c r="S98"/>
      <x:c r="T98"/>
      <x:c r="U98"/>
      <x:c r="V98"/>
    </x:row>
    <x:row r="99">
      <x:c r="A99" t="str">
        <x:v>Quality</x:v>
      </x:c>
      <x:c r="B99" s="12"/>
      <x:c r="C99" s="5"/>
      <x:c r="D99" s="5"/>
      <x:c r="E99" s="14"/>
      <x:c r="F99"/>
      <x:c r="G99" s="16"/>
      <x:c r="H99" t="str">
        <x:v>Unusable loan numbers</x:v>
      </x:c>
      <x:c r="I99"/>
      <x:c r="J99"/>
      <x:c r="K99"/>
      <x:c r="L99"/>
      <x:c r="M99"/>
      <x:c r="N99"/>
      <x:c r="O99" t="n">
        <x:v>35471</x:v>
      </x:c>
      <x:c r="P99"/>
      <x:c r="Q99"/>
      <x:c r="R99"/>
      <x:c r="S99"/>
      <x:c r="T99"/>
      <x:c r="U99"/>
      <x:c r="V99"/>
    </x:row>
    <x:row r="100">
      <x:c r="A100" t="str">
        <x:v>Quality</x:v>
      </x:c>
      <x:c r="B100" s="12"/>
      <x:c r="C100" s="5"/>
      <x:c r="D100" s="5"/>
      <x:c r="E100" s="14"/>
      <x:c r="F100"/>
      <x:c r="G100" s="16"/>
      <x:c r="H100" t="str">
        <x:v>Identifiable calls</x:v>
      </x:c>
      <x:c r="I100"/>
      <x:c r="J100"/>
      <x:c r="K100"/>
      <x:c r="L100"/>
      <x:c r="M100"/>
      <x:c r="N100"/>
      <x:c r="O100" t="n">
        <x:v>228146</x:v>
      </x:c>
      <x:c r="P100"/>
      <x:c r="Q100"/>
      <x:c r="R100"/>
      <x:c r="S100"/>
      <x:c r="T100"/>
      <x:c r="U100"/>
      <x:c r="V100"/>
    </x:row>
    <x:row r="101">
      <x:c r="A101" t="str">
        <x:v>Quality</x:v>
      </x:c>
      <x:c r="B101" s="12"/>
      <x:c r="C101" s="5"/>
      <x:c r="D101" s="5"/>
      <x:c r="E101" s="14"/>
      <x:c r="F101"/>
      <x:c r="G101" s="16"/>
      <x:c r="H101" t="str">
        <x:v>Unique loans in period</x:v>
      </x:c>
      <x:c r="I101"/>
      <x:c r="J101"/>
      <x:c r="K101"/>
      <x:c r="L101"/>
      <x:c r="M101"/>
      <x:c r="N101"/>
      <x:c r="O101" t="n">
        <x:v>101458</x:v>
      </x:c>
      <x:c r="P101"/>
      <x:c r="Q101"/>
      <x:c r="R101"/>
      <x:c r="S101"/>
      <x:c r="T101"/>
      <x:c r="U101"/>
      <x:c r="V101"/>
    </x:row>
    <x:row r="102">
      <x:c r="A102" t="str">
        <x:v>Quality</x:v>
      </x:c>
      <x:c r="B102" s="12"/>
      <x:c r="C102" s="5"/>
      <x:c r="D102" s="5"/>
      <x:c r="E102" s="14"/>
      <x:c r="F102"/>
      <x:c r="G102" s="16"/>
      <x:c r="H102" t="str">
        <x:v>Additional calls</x:v>
      </x:c>
      <x:c r="I102"/>
      <x:c r="J102"/>
      <x:c r="K102"/>
      <x:c r="L102"/>
      <x:c r="M102"/>
      <x:c r="N102"/>
      <x:c r="O102" t="n">
        <x:v>47672</x:v>
      </x:c>
      <x:c r="P102"/>
      <x:c r="Q102"/>
      <x:c r="R102"/>
      <x:c r="S102"/>
      <x:c r="T102"/>
      <x:c r="U102"/>
      <x:c r="V102"/>
    </x:row>
    <x:row r="103">
      <x:c r="A103" t="str">
        <x:v>Quality</x:v>
      </x:c>
      <x:c r="B103" s="12"/>
      <x:c r="C103" s="5"/>
      <x:c r="D103" s="5"/>
      <x:c r="E103" s="14"/>
      <x:c r="F103"/>
      <x:c r="G103" s="16"/>
      <x:c r="H103" t="str">
        <x:v>Repeat calls with utterances</x:v>
      </x:c>
      <x:c r="I103"/>
      <x:c r="J103"/>
      <x:c r="K103"/>
      <x:c r="L103"/>
      <x:c r="M103"/>
      <x:c r="N103"/>
      <x:c r="O103" t="n">
        <x:v>16005</x:v>
      </x:c>
      <x:c r="P103"/>
      <x:c r="Q103"/>
      <x:c r="R103"/>
      <x:c r="S103"/>
      <x:c r="T103"/>
      <x:c r="U103"/>
      <x:c r="V103"/>
    </x:row>
    <x:row r="104">
      <x:c r="A104" t="str">
        <x:v>Quality</x:v>
      </x:c>
      <x:c r="B104" s="12"/>
      <x:c r="C104" s="5"/>
      <x:c r="D104" s="5"/>
      <x:c r="E104" s="14"/>
      <x:c r="F104"/>
      <x:c r="G104" s="16"/>
      <x:c r="H104" t="str">
        <x:v>All calls with utterances</x:v>
      </x:c>
      <x:c r="I104"/>
      <x:c r="J104"/>
      <x:c r="K104"/>
      <x:c r="L104"/>
      <x:c r="M104"/>
      <x:c r="N104"/>
      <x:c r="O104" t="n">
        <x:v>70008</x:v>
      </x:c>
      <x:c r="P104"/>
      <x:c r="Q104"/>
      <x:c r="R104"/>
      <x:c r="S104"/>
      <x:c r="T104"/>
      <x:c r="U104"/>
      <x:c r="V104"/>
    </x:row>
    <x:row r="105">
      <x:c r="A105" t="str">
        <x:v>Quality</x:v>
      </x:c>
      <x:c r="B105" s="12"/>
      <x:c r="C105" s="5"/>
      <x:c r="D105" s="5"/>
      <x:c r="E105" s="14"/>
      <x:c r="F105"/>
      <x:c r="G105" s="16"/>
      <x:c r="H105" t="str">
        <x:v>Repeat gaps within 5 minutes</x:v>
      </x:c>
      <x:c r="I105"/>
      <x:c r="J105"/>
      <x:c r="K105"/>
      <x:c r="L105"/>
      <x:c r="M105"/>
      <x:c r="N105"/>
      <x:c r="O105" t="n">
        <x:v>23954</x:v>
      </x:c>
      <x:c r="P105"/>
      <x:c r="Q105"/>
      <x:c r="R105"/>
      <x:c r="S105"/>
      <x:c r="T105"/>
      <x:c r="U105"/>
      <x:c r="V105"/>
    </x:row>
    <x:row r="106">
      <x:c r="A106" t="str">
        <x:v>Quality</x:v>
      </x:c>
      <x:c r="B106" s="12"/>
      <x:c r="C106" s="5"/>
      <x:c r="D106" s="5"/>
      <x:c r="E106" s="14"/>
      <x:c r="F106"/>
      <x:c r="G106" s="16"/>
      <x:c r="H106" t="str">
        <x:v>Repeat calls with valid gaps</x:v>
      </x:c>
      <x:c r="I106"/>
      <x:c r="J106"/>
      <x:c r="K106"/>
      <x:c r="L106"/>
      <x:c r="M106"/>
      <x:c r="N106"/>
      <x:c r="O106" t="n">
        <x:v>47672</x:v>
      </x:c>
      <x:c r="P106"/>
      <x:c r="Q106"/>
      <x:c r="R106"/>
      <x:c r="S106"/>
      <x:c r="T106"/>
      <x:c r="U106"/>
      <x:c r="V106"/>
    </x:row>
    <x:row r="107">
      <x:c r="A107" t="str">
        <x:v>Quality</x:v>
      </x:c>
      <x:c r="B107" s="12"/>
      <x:c r="C107" s="5"/>
      <x:c r="D107" s="5"/>
      <x:c r="E107" s="14"/>
      <x:c r="F107"/>
      <x:c r="G107" s="16"/>
      <x:c r="H107" t="str">
        <x:v>Median gap minutes</x:v>
      </x:c>
      <x:c r="I107"/>
      <x:c r="J107"/>
      <x:c r="K107"/>
      <x:c r="L107"/>
      <x:c r="M107"/>
      <x:c r="N107"/>
      <x:c r="O107" t="n">
        <x:v>4.966666666666667</x:v>
      </x:c>
      <x:c r="P107"/>
      <x:c r="Q107"/>
      <x:c r="R107"/>
      <x:c r="S107"/>
      <x:c r="T107"/>
      <x:c r="U107"/>
      <x:c r="V107"/>
    </x:row>
    <x:row r="108">
      <x:c r="A108" t="str">
        <x:v>Quality</x:v>
      </x:c>
      <x:c r="B108" s="12"/>
      <x:c r="C108" s="5"/>
      <x:c r="D108" s="5"/>
      <x:c r="E108" s="14"/>
      <x:c r="F108"/>
      <x:c r="G108" s="16"/>
      <x:c r="H108" t="str">
        <x:v>Invalid timestamps</x:v>
      </x:c>
      <x:c r="I108"/>
      <x:c r="J108"/>
      <x:c r="K108"/>
      <x:c r="L108"/>
      <x:c r="M108"/>
      <x:c r="N108"/>
      <x:c r="O108" t="n">
        <x:v>0</x:v>
      </x:c>
      <x:c r="P108"/>
      <x:c r="Q108"/>
      <x:c r="R108"/>
      <x:c r="S108"/>
      <x:c r="T108"/>
      <x:c r="U108"/>
      <x:c r="V108"/>
    </x:row>
    <x:row r="109">
      <x:c r="A109" t="str">
        <x:v>Quality</x:v>
      </x:c>
      <x:c r="B109" s="12"/>
      <x:c r="C109" s="5"/>
      <x:c r="D109" s="5"/>
      <x:c r="E109" s="14"/>
      <x:c r="F109"/>
      <x:c r="G109" s="16"/>
      <x:c r="H109" t="str">
        <x:v>Timestamp date mismatches</x:v>
      </x:c>
      <x:c r="I109"/>
      <x:c r="J109"/>
      <x:c r="K109"/>
      <x:c r="L109"/>
      <x:c r="M109"/>
      <x:c r="N109"/>
      <x:c r="O109" t="n">
        <x:v>0</x:v>
      </x:c>
      <x:c r="P109"/>
      <x:c r="Q109"/>
      <x:c r="R109"/>
      <x:c r="S109"/>
      <x:c r="T109"/>
      <x:c r="U109"/>
      <x:c r="V109"/>
    </x:row>
    <x:row r="110">
      <x:c r="A110" t="str">
        <x:v>Quality</x:v>
      </x:c>
      <x:c r="B110" s="12"/>
      <x:c r="C110" s="5"/>
      <x:c r="D110" s="5"/>
      <x:c r="E110" s="14"/>
      <x:c r="F110"/>
      <x:c r="G110" s="16"/>
      <x:c r="H110" t="str">
        <x:v>First date</x:v>
      </x:c>
      <x:c r="I110"/>
      <x:c r="J110"/>
      <x:c r="K110"/>
      <x:c r="L110"/>
      <x:c r="M110"/>
      <x:c r="N110"/>
      <x:c r="O110" t="n">
        <x:v>46221</x:v>
      </x:c>
      <x:c r="P110"/>
      <x:c r="Q110"/>
      <x:c r="R110"/>
      <x:c r="S110"/>
      <x:c r="T110"/>
      <x:c r="U110"/>
      <x:c r="V110"/>
    </x:row>
    <x:row r="111">
      <x:c r="A111" t="str">
        <x:v>Quality</x:v>
      </x:c>
      <x:c r="B111" s="12"/>
      <x:c r="C111" s="5"/>
      <x:c r="D111" s="5"/>
      <x:c r="E111" s="14"/>
      <x:c r="F111"/>
      <x:c r="G111" s="16"/>
      <x:c r="H111" t="str">
        <x:v>Last date</x:v>
      </x:c>
      <x:c r="I111"/>
      <x:c r="J111"/>
      <x:c r="K111"/>
      <x:c r="L111"/>
      <x:c r="M111"/>
      <x:c r="N111"/>
      <x:c r="O111" t="n">
        <x:v>46280</x:v>
      </x:c>
      <x:c r="P111"/>
      <x:c r="Q111"/>
      <x:c r="R111"/>
      <x:c r="S111"/>
      <x:c r="T111"/>
      <x:c r="U111"/>
      <x:c r="V111"/>
    </x:row>
    <x:row r="112">
      <x:c r="A112" t="str">
        <x:v>Quality</x:v>
      </x:c>
      <x:c r="B112" s="12"/>
      <x:c r="C112" s="5"/>
      <x:c r="D112" s="5"/>
      <x:c r="E112" s="14"/>
      <x:c r="F112"/>
      <x:c r="G112" s="16"/>
      <x:c r="H112" t="str">
        <x:v>Date span</x:v>
      </x:c>
      <x:c r="I112"/>
      <x:c r="J112"/>
      <x:c r="K112"/>
      <x:c r="L112"/>
      <x:c r="M112"/>
      <x:c r="N112"/>
      <x:c r="O112" t="n">
        <x:v>60</x:v>
      </x:c>
      <x:c r="P112"/>
      <x:c r="Q112"/>
      <x:c r="R112"/>
      <x:c r="S112"/>
      <x:c r="T112"/>
      <x:c r="U112"/>
      <x:c r="V112"/>
    </x:row>
    <x:row r="113">
      <x:c r="A113" t="str">
        <x:v>Quality</x:v>
      </x:c>
      <x:c r="B113" s="12"/>
      <x:c r="C113" s="5"/>
      <x:c r="D113" s="5"/>
      <x:c r="E113" s="14"/>
      <x:c r="F113"/>
      <x:c r="G113" s="16"/>
      <x:c r="H113" t="str">
        <x:v>Result generated at</x:v>
      </x:c>
      <x:c r="I113"/>
      <x:c r="J113"/>
      <x:c r="K113"/>
      <x:c r="L113"/>
      <x:c r="M113"/>
      <x:c r="N113"/>
      <x:c r="O113" t="n">
        <x:v>46281.359826388885</x:v>
      </x:c>
      <x:c r="P113"/>
      <x:c r="Q113"/>
      <x:c r="R113"/>
      <x:c r="S113"/>
      <x:c r="T113"/>
      <x:c r="U113"/>
      <x:c r="V113"/>
    </x:row>
  </x:sheetData>
  <x:pageMargins left="0.7" right="0.7" top="0.75" bottom="0.75" header="0.3" footer="0.3"/>
</x:worksheet>
</file>

<file path=xl/worksheets/sheet5.xml><?xml version="1.0" encoding="utf-8"?>
<x:worksheet xmlns:x="http://schemas.openxmlformats.org/spreadsheetml/2006/main">
  <x:sheetPr>
    <x:tabColor rgb="FFD39B29"/>
  </x:sheetPr>
  <x:sheetViews>
    <x:sheetView showGridLines="0" workbookViewId="0">
      <x:pane xSplit="2" ySplit="1" topLeftCell="C2" activePane="bottomRight" state="frozen"/>
    </x:sheetView>
  </x:sheetViews>
  <x:sheetFormatPr defaultRowHeight="15"/>
  <x:cols>
    <x:col min="1" max="1" width="22" hidden="0" customWidth="1"/>
    <x:col min="2" max="2" width="14" hidden="0" customWidth="1"/>
    <x:col min="3" max="3" width="33" hidden="0" customWidth="1"/>
    <x:col min="4" max="4" width="25" hidden="0" customWidth="1"/>
    <x:col min="5" max="5" width="58" hidden="0" customWidth="1"/>
    <x:col min="6" max="6" width="30" hidden="0" customWidth="1"/>
    <x:col min="7" max="7" width="60" hidden="0" customWidth="1"/>
    <x:col min="8" max="8" width="20" hidden="0" customWidth="1"/>
    <x:col min="10" max="10" width="100" hidden="0" customWidth="1"/>
  </x:cols>
  <x:sheetData>
    <x:row r="1" ht="34" customHeight="1">
      <x:c r="A1" s="4" t="str">
        <x:v>CALL ID</x:v>
      </x:c>
      <x:c r="B1" s="4" t="str">
        <x:v>DATE</x:v>
      </x:c>
      <x:c r="C1" s="4" t="str">
        <x:v>TIMESTAMP</x:v>
      </x:c>
      <x:c r="D1" s="4" t="str">
        <x:v>SKILL</x:v>
      </x:c>
      <x:c r="E1" s="4" t="str">
        <x:v>IVA.fromIVA</x:v>
      </x:c>
      <x:c r="F1" s="4" t="str">
        <x:v>Routing.IVR Menu</x:v>
      </x:c>
      <x:c r="G1" s="4" t="str">
        <x:v>Routing.Transfer Path</x:v>
      </x:c>
      <x:c r="H1" s="4" t="str">
        <x:v>LoanNumber</x:v>
      </x:c>
    </x:row>
    <x:row r="2">
      <x:c r="A2" s="5"/>
      <x:c r="B2"/>
      <x:c r="C2"/>
      <x:c r="D2"/>
      <x:c r="E2"/>
      <x:c r="F2"/>
      <x:c r="G2"/>
      <x:c r="H2" s="5"/>
      <x:c r="J2" s="6" t="str">
        <x:v>Saved example analysis source: Inbound Call Log 260916_083809.csv</x:v>
      </x:c>
    </x:row>
    <x:row r="3">
      <x:c r="A3" s="5"/>
      <x:c r="H3" s="5"/>
      <x:c r="J3" s="6" t="str">
        <x:v>INPUT TABLE IS EMPTY. Paste your export values into A2 before the first refresh.</x:v>
      </x:c>
    </x:row>
    <x:row r="4">
      <x:c r="A4" s="5"/>
      <x:c r="H4" s="5"/>
      <x:c r="J4" s="6" t="str">
        <x:v>Replace all old table rows before pasting a new export. Keep the eight headers.</x:v>
      </x:c>
    </x:row>
    <x:row r="5">
      <x:c r="A5" s="5"/>
      <x:c r="H5" s="5"/>
      <x:c r="J5" s="6" t="str">
        <x:v>Keep CALL ID and LoanNumber as text. Use Table Design &gt; Resize Table when needed.</x:v>
      </x:c>
    </x:row>
    <x:row r="6">
      <x:c r="A6" s="5"/>
      <x:c r="H6" s="5"/>
      <x:c r="J6" s="6" t="str">
        <x:v>After the one-time Setup steps, select Data &gt; Refresh All.</x:v>
      </x:c>
    </x:row>
    <x:row r="7">
      <x:c r="A7" s="5"/>
      <x:c r="H7" s="5"/>
    </x:row>
    <x:row r="8">
      <x:c r="A8" s="5"/>
      <x:c r="H8" s="5"/>
    </x:row>
    <x:row r="9">
      <x:c r="A9" s="5"/>
      <x:c r="H9" s="5"/>
    </x:row>
    <x:row r="10">
      <x:c r="A10" s="5"/>
      <x:c r="H10" s="5"/>
    </x:row>
    <x:row r="11">
      <x:c r="A11" s="5"/>
      <x:c r="H11" s="5"/>
    </x:row>
    <x:row r="12">
      <x:c r="A12" s="5"/>
      <x:c r="H12" s="5"/>
    </x:row>
    <x:row r="13">
      <x:c r="A13" s="5"/>
      <x:c r="H13" s="5"/>
    </x:row>
    <x:row r="14">
      <x:c r="A14" s="5"/>
      <x:c r="H14" s="5"/>
    </x:row>
    <x:row r="15">
      <x:c r="A15" s="5"/>
      <x:c r="H15" s="5"/>
    </x:row>
    <x:row r="16">
      <x:c r="A16" s="5"/>
      <x:c r="H16" s="5"/>
    </x:row>
    <x:row r="17">
      <x:c r="A17" s="5"/>
      <x:c r="H17" s="5"/>
    </x:row>
    <x:row r="18">
      <x:c r="A18" s="5"/>
      <x:c r="H18" s="5"/>
    </x:row>
    <x:row r="19">
      <x:c r="A19" s="5"/>
      <x:c r="H19" s="5"/>
    </x:row>
    <x:row r="20">
      <x:c r="A20" s="5"/>
      <x:c r="H20" s="5"/>
    </x:row>
    <x:row r="21">
      <x:c r="A21" s="5"/>
      <x:c r="H21" s="5"/>
    </x:row>
    <x:row r="22">
      <x:c r="A22" s="5"/>
      <x:c r="H22" s="5"/>
    </x:row>
    <x:row r="23">
      <x:c r="A23" s="5"/>
      <x:c r="H23" s="5"/>
    </x:row>
    <x:row r="24">
      <x:c r="A24" s="5"/>
      <x:c r="H24" s="5"/>
    </x:row>
    <x:row r="25">
      <x:c r="A25" s="5"/>
      <x:c r="H25" s="5"/>
    </x:row>
    <x:row r="26">
      <x:c r="A26" s="5"/>
      <x:c r="H26" s="5"/>
    </x:row>
    <x:row r="27">
      <x:c r="A27" s="5"/>
      <x:c r="H27" s="5"/>
    </x:row>
    <x:row r="28">
      <x:c r="A28" s="5"/>
      <x:c r="H28" s="5"/>
    </x:row>
    <x:row r="29">
      <x:c r="A29" s="5"/>
      <x:c r="H29" s="5"/>
    </x:row>
    <x:row r="30">
      <x:c r="A30" s="5"/>
      <x:c r="H30" s="5"/>
    </x:row>
    <x:row r="31">
      <x:c r="A31" s="5"/>
      <x:c r="H31" s="5"/>
    </x:row>
    <x:row r="32">
      <x:c r="A32" s="5"/>
      <x:c r="H32" s="5"/>
    </x:row>
    <x:row r="33">
      <x:c r="A33" s="5"/>
      <x:c r="H33" s="5"/>
    </x:row>
    <x:row r="34">
      <x:c r="A34" s="5"/>
      <x:c r="H34" s="5"/>
    </x:row>
    <x:row r="35">
      <x:c r="A35" s="5"/>
      <x:c r="H35" s="5"/>
    </x:row>
    <x:row r="36">
      <x:c r="A36" s="5"/>
      <x:c r="H36" s="5"/>
    </x:row>
    <x:row r="37">
      <x:c r="A37" s="5"/>
      <x:c r="H37" s="5"/>
    </x:row>
    <x:row r="38">
      <x:c r="A38" s="5"/>
      <x:c r="H38" s="5"/>
    </x:row>
    <x:row r="39">
      <x:c r="A39" s="5"/>
      <x:c r="H39" s="5"/>
    </x:row>
    <x:row r="40">
      <x:c r="A40" s="5"/>
      <x:c r="H40" s="5"/>
    </x:row>
    <x:row r="41">
      <x:c r="A41" s="5"/>
      <x:c r="H41" s="5"/>
    </x:row>
    <x:row r="42">
      <x:c r="A42" s="5"/>
      <x:c r="H42" s="5"/>
    </x:row>
    <x:row r="43">
      <x:c r="A43" s="5"/>
      <x:c r="H43" s="5"/>
    </x:row>
    <x:row r="44">
      <x:c r="A44" s="5"/>
      <x:c r="H44" s="5"/>
    </x:row>
    <x:row r="45">
      <x:c r="A45" s="5"/>
      <x:c r="H45" s="5"/>
    </x:row>
    <x:row r="46">
      <x:c r="A46" s="5"/>
      <x:c r="H46" s="5"/>
    </x:row>
    <x:row r="47">
      <x:c r="A47" s="5"/>
      <x:c r="H47" s="5"/>
    </x:row>
    <x:row r="48">
      <x:c r="A48" s="5"/>
      <x:c r="H48" s="5"/>
    </x:row>
    <x:row r="49">
      <x:c r="A49" s="5"/>
      <x:c r="H49" s="5"/>
    </x:row>
    <x:row r="50">
      <x:c r="A50" s="5"/>
      <x:c r="H50" s="5"/>
    </x:row>
    <x:row r="51">
      <x:c r="A51" s="5"/>
      <x:c r="H51" s="5"/>
    </x:row>
    <x:row r="52">
      <x:c r="A52" s="5"/>
      <x:c r="H52" s="5"/>
    </x:row>
    <x:row r="53">
      <x:c r="A53" s="5"/>
      <x:c r="H53" s="5"/>
    </x:row>
    <x:row r="54">
      <x:c r="A54" s="5"/>
      <x:c r="H54" s="5"/>
    </x:row>
    <x:row r="55">
      <x:c r="A55" s="5"/>
      <x:c r="H55" s="5"/>
    </x:row>
    <x:row r="56">
      <x:c r="A56" s="5"/>
      <x:c r="H56" s="5"/>
    </x:row>
    <x:row r="57">
      <x:c r="A57" s="5"/>
      <x:c r="H57" s="5"/>
    </x:row>
    <x:row r="58">
      <x:c r="A58" s="5"/>
      <x:c r="H58" s="5"/>
    </x:row>
    <x:row r="59">
      <x:c r="A59" s="5"/>
      <x:c r="H59" s="5"/>
    </x:row>
    <x:row r="60">
      <x:c r="A60" s="5"/>
      <x:c r="H60" s="5"/>
    </x:row>
    <x:row r="61">
      <x:c r="A61" s="5"/>
      <x:c r="H61" s="5"/>
    </x:row>
    <x:row r="62">
      <x:c r="A62" s="5"/>
      <x:c r="H62" s="5"/>
    </x:row>
    <x:row r="63">
      <x:c r="A63" s="5"/>
      <x:c r="H63" s="5"/>
    </x:row>
    <x:row r="64">
      <x:c r="A64" s="5"/>
      <x:c r="H64" s="5"/>
    </x:row>
    <x:row r="65">
      <x:c r="A65" s="5"/>
      <x:c r="H65" s="5"/>
    </x:row>
    <x:row r="66">
      <x:c r="A66" s="5"/>
      <x:c r="H66" s="5"/>
    </x:row>
    <x:row r="67">
      <x:c r="A67" s="5"/>
      <x:c r="H67" s="5"/>
    </x:row>
    <x:row r="68">
      <x:c r="A68" s="5"/>
      <x:c r="H68" s="5"/>
    </x:row>
    <x:row r="69">
      <x:c r="A69" s="5"/>
      <x:c r="H69" s="5"/>
    </x:row>
    <x:row r="70">
      <x:c r="A70" s="5"/>
      <x:c r="H70" s="5"/>
    </x:row>
    <x:row r="71">
      <x:c r="A71" s="5"/>
      <x:c r="H71" s="5"/>
    </x:row>
    <x:row r="72">
      <x:c r="A72" s="5"/>
      <x:c r="H72" s="5"/>
    </x:row>
    <x:row r="73">
      <x:c r="A73" s="5"/>
      <x:c r="H73" s="5"/>
    </x:row>
    <x:row r="74">
      <x:c r="A74" s="5"/>
      <x:c r="H74" s="5"/>
    </x:row>
    <x:row r="75">
      <x:c r="A75" s="5"/>
      <x:c r="H75" s="5"/>
    </x:row>
    <x:row r="76">
      <x:c r="A76" s="5"/>
      <x:c r="H76" s="5"/>
    </x:row>
    <x:row r="77">
      <x:c r="A77" s="5"/>
      <x:c r="H77" s="5"/>
    </x:row>
    <x:row r="78">
      <x:c r="A78" s="5"/>
      <x:c r="H78" s="5"/>
    </x:row>
    <x:row r="79">
      <x:c r="A79" s="5"/>
      <x:c r="H79" s="5"/>
    </x:row>
    <x:row r="80">
      <x:c r="A80" s="5"/>
      <x:c r="H80" s="5"/>
    </x:row>
    <x:row r="81">
      <x:c r="A81" s="5"/>
      <x:c r="H81" s="5"/>
    </x:row>
    <x:row r="82">
      <x:c r="A82" s="5"/>
      <x:c r="H82" s="5"/>
    </x:row>
    <x:row r="83">
      <x:c r="A83" s="5"/>
      <x:c r="H83" s="5"/>
    </x:row>
    <x:row r="84">
      <x:c r="A84" s="5"/>
      <x:c r="H84" s="5"/>
    </x:row>
    <x:row r="85">
      <x:c r="A85" s="5"/>
      <x:c r="H85" s="5"/>
    </x:row>
    <x:row r="86">
      <x:c r="A86" s="5"/>
      <x:c r="H86" s="5"/>
    </x:row>
    <x:row r="87">
      <x:c r="A87" s="5"/>
      <x:c r="H87" s="5"/>
    </x:row>
    <x:row r="88">
      <x:c r="A88" s="5"/>
      <x:c r="H88" s="5"/>
    </x:row>
    <x:row r="89">
      <x:c r="A89" s="5"/>
      <x:c r="H89" s="5"/>
    </x:row>
    <x:row r="90">
      <x:c r="A90" s="5"/>
      <x:c r="H90" s="5"/>
    </x:row>
    <x:row r="91">
      <x:c r="A91" s="5"/>
      <x:c r="H91" s="5"/>
    </x:row>
    <x:row r="92">
      <x:c r="A92" s="5"/>
      <x:c r="H92" s="5"/>
    </x:row>
    <x:row r="93">
      <x:c r="A93" s="5"/>
      <x:c r="H93" s="5"/>
    </x:row>
    <x:row r="94">
      <x:c r="A94" s="5"/>
      <x:c r="H94" s="5"/>
    </x:row>
    <x:row r="95">
      <x:c r="A95" s="5"/>
      <x:c r="H95" s="5"/>
    </x:row>
    <x:row r="96">
      <x:c r="A96" s="5"/>
      <x:c r="H96" s="5"/>
    </x:row>
    <x:row r="97">
      <x:c r="A97" s="5"/>
      <x:c r="H97" s="5"/>
    </x:row>
    <x:row r="98">
      <x:c r="A98" s="5"/>
      <x:c r="H98" s="5"/>
    </x:row>
    <x:row r="99">
      <x:c r="A99" s="5"/>
      <x:c r="H99" s="5"/>
    </x:row>
    <x:row r="100">
      <x:c r="A100" s="5"/>
      <x:c r="H100" s="5"/>
    </x:row>
  </x:sheetData>
  <x:pageMargins left="0.7" right="0.7" top="0.75" bottom="0.75" header="0.3" footer="0.3"/>
  <x:tableParts count="1">
    <x:tablePart xmlns:r="http://schemas.openxmlformats.org/officeDocument/2006/relationships" r:id="R42b1b7ded7b24a46"/>
  </x:tableParts>
</x:worksheet>
</file>

<file path=xl/worksheets/sheet6.xml><?xml version="1.0" encoding="utf-8"?>
<x:worksheet xmlns:x="http://schemas.openxmlformats.org/spreadsheetml/2006/main">
  <x:sheetPr>
    <x:tabColor rgb="FFD39B29"/>
  </x:sheetPr>
  <x:sheetViews>
    <x:sheetView showGridLines="0" workbookViewId="0">
      <x:pane ySplit="6" topLeftCell="A7" activePane="bottomLeft" state="frozen"/>
    </x:sheetView>
  </x:sheetViews>
  <x:sheetFormatPr defaultRowHeight="15"/>
  <x:cols>
    <x:col min="1" max="1" width="32" hidden="0" customWidth="1"/>
    <x:col min="2" max="2" width="125" hidden="0" customWidth="1"/>
    <x:col min="3" max="3" width="4" hidden="0" customWidth="1"/>
    <x:col min="4" max="4" width="112" hidden="0" customWidth="1"/>
  </x:cols>
  <x:sheetData>
    <x:row r="1" ht="22" customHeight="1">
      <x:c r="A1" s="7"/>
      <x:c r="B1" s="7"/>
      <x:c r="C1" s="7"/>
    </x:row>
    <x:row r="2" ht="22" customHeight="1">
      <x:c r="A2" s="8" t="str">
        <x:v>Editable topic rules</x:v>
      </x:c>
      <x:c r="B2" s="7"/>
      <x:c r="C2" s="7"/>
    </x:row>
    <x:row r="3" ht="22" customHeight="1">
      <x:c r="A3" s="9"/>
      <x:c r="B3" s="9"/>
      <x:c r="C3" s="9"/>
    </x:row>
    <x:row r="4" ht="22" customHeight="1">
      <x:c r="A4" s="6" t="str">
        <x:v>One category per row; separate words or phrases with |. Categories may overlap. Refresh after edits.</x:v>
      </x:c>
      <x:c r="B4" s="7"/>
      <x:c r="C4" s="7"/>
      <x:c r="D4" s="6" t="str">
        <x:v>Matching uses whole words or phrases, ignoring case and common punctuation. Up to 100 unique categories.</x:v>
      </x:c>
    </x:row>
    <x:row r="5" ht="22" customHeight="1">
      <x:c r="A5" s="7"/>
      <x:c r="B5" s="7"/>
      <x:c r="C5" s="7"/>
      <x:c r="D5" s="6" t="str">
        <x:v>These are topic signals, not confirmed reasons for calling back. No sentiment or resolution inference is made.</x:v>
      </x:c>
    </x:row>
    <x:row r="6" ht="34" customHeight="1">
      <x:c r="A6" s="4" t="str">
        <x:v>Category</x:v>
      </x:c>
      <x:c r="B6" s="4" t="str">
        <x:v>Keywords</x:v>
      </x:c>
      <x:c r="C6" s="7"/>
      <x:c r="D6" s="6" t="str">
        <x:v>Counts can differ slightly from the initial chat analysis because these rules avoid partial-word matches.</x:v>
      </x:c>
    </x:row>
    <x:row r="7" ht="22" customHeight="1">
      <x:c r="A7" s="18" t="str">
        <x:v>Payment</x:v>
      </x:c>
      <x:c r="B7" s="18" t="str">
        <x:v>payment|payments|pay|auto pay|autopay|auto draft|autodraft|principal</x:v>
      </x:c>
      <x:c r="C7" s="7"/>
    </x:row>
    <x:row r="8" ht="22" customHeight="1">
      <x:c r="A8" s="18" t="str">
        <x:v>Escrow</x:v>
      </x:c>
      <x:c r="B8" s="18" t="str">
        <x:v>escrow</x:v>
      </x:c>
      <x:c r="C8" s="7"/>
    </x:row>
    <x:row r="9" ht="22" customHeight="1">
      <x:c r="A9" s="18" t="str">
        <x:v>Insurance / claims</x:v>
      </x:c>
      <x:c r="B9" s="18" t="str">
        <x:v>insurance|claim|claims|loss draft</x:v>
      </x:c>
      <x:c r="C9" s="7"/>
    </x:row>
    <x:row r="10" ht="22" customHeight="1">
      <x:c r="A10" s="18" t="str">
        <x:v>Website / account access</x:v>
      </x:c>
      <x:c r="B10" s="18" t="str">
        <x:v>website|web site|login|log in|password|online|sign in|locked</x:v>
      </x:c>
      <x:c r="C10" s="7"/>
    </x:row>
    <x:row r="11" ht="22" customHeight="1">
      <x:c r="A11" s="18" t="str">
        <x:v>Documents / statements</x:v>
      </x:c>
      <x:c r="B11" s="18" t="str">
        <x:v>document|documents|statement|statements|1098|letter|letters|form|forms</x:v>
      </x:c>
      <x:c r="C11" s="7"/>
    </x:row>
    <x:row r="12" ht="22" customHeight="1">
      <x:c r="A12" s="18" t="str">
        <x:v>Payoff</x:v>
      </x:c>
      <x:c r="B12" s="18" t="str">
        <x:v>payoff|pay off|paid in full</x:v>
      </x:c>
      <x:c r="C12" s="7"/>
    </x:row>
    <x:row r="13" ht="22" customHeight="1">
      <x:c r="A13" s="18" t="str">
        <x:v>Property taxes</x:v>
      </x:c>
      <x:c r="B13" s="18" t="str">
        <x:v>tax|taxes</x:v>
      </x:c>
      <x:c r="C13" s="7"/>
    </x:row>
    <x:row r="14" ht="22" customHeight="1">
      <x:c r="A14" s="18" t="str">
        <x:v>Automatic payments</x:v>
      </x:c>
      <x:c r="B14" s="18" t="str">
        <x:v>auto pay|autopay|auto draft|autodraft|automatic payment|automatic payments|recurring|ach</x:v>
      </x:c>
      <x:c r="C14" s="7"/>
    </x:row>
    <x:row r="15" ht="22" customHeight="1">
      <x:c r="A15" s="18" t="str">
        <x:v>Payment status</x:v>
      </x:c>
      <x:c r="B15" s="18" t="str">
        <x:v>payment status|payment posted|payment posting|payment received|payment applied</x:v>
      </x:c>
      <x:c r="C15" s="7"/>
    </x:row>
    <x:row r="16" ht="22" customHeight="1">
      <x:c r="A16" s="18" t="str">
        <x:v>Make a payment</x:v>
      </x:c>
      <x:c r="B16" s="18" t="str">
        <x:v>make a payment|making a payment|pay my mortgage|pay the mortgage|pay my bill|submit a payment</x:v>
      </x:c>
      <x:c r="C16" s="7"/>
    </x:row>
    <x:row r="17" ht="22" customHeight="1">
      <x:c r="A17" s="18" t="str">
        <x:v>Payment increase / change</x:v>
      </x:c>
      <x:c r="B17" s="18" t="str">
        <x:v>payment increase|payment increased|payment went up|payment changed|payment change|higher payment</x:v>
      </x:c>
      <x:c r="C17" s="7"/>
    </x:row>
    <x:row r="18" ht="22" customHeight="1">
      <x:c r="A18" s="18" t="str">
        <x:v>Mortgage assistance</x:v>
      </x:c>
      <x:c r="B18" s="18" t="str">
        <x:v>hardship|forbearance|loss mitigation|modification|cannot afford|struggling</x:v>
      </x:c>
      <x:c r="C18" s="7"/>
    </x:row>
    <x:row r="19" ht="22" customHeight="1">
      <x:c r="A19" s="18" t="str">
        <x:v>Loan assumption / recast</x:v>
      </x:c>
      <x:c r="B19" s="18" t="str">
        <x:v>assumption|assume|recast</x:v>
      </x:c>
      <x:c r="C19" s="7"/>
    </x:row>
    <x:row r="20" ht="22" customHeight="1">
      <x:c r="A20" s="18" t="str">
        <x:v>Returning a call</x:v>
      </x:c>
      <x:c r="B20" s="18" t="str">
        <x:v>returning a call|returning your call|returning a phone call|missed call|call back</x:v>
      </x:c>
      <x:c r="C20" s="7"/>
    </x:row>
    <x:row r="21" ht="22" customHeight="1">
      <x:c r="A21" s="18" t="str">
        <x:v>Request for agent</x:v>
      </x:c>
      <x:c r="B21" s="18" t="str">
        <x:v>agent|representative|operator|customer service</x:v>
      </x:c>
      <x:c r="C21" s="7"/>
    </x:row>
    <x:row r="22" ht="22" customHeight="1">
      <x:c r="A22" s="7"/>
      <x:c r="B22" s="7"/>
      <x:c r="C22" s="7"/>
    </x:row>
    <x:row r="23" ht="22" customHeight="1">
      <x:c r="A23" s="7"/>
      <x:c r="B23" s="7"/>
      <x:c r="C23" s="7"/>
    </x:row>
    <x:row r="24" ht="22" customHeight="1">
      <x:c r="A24" s="7"/>
      <x:c r="B24" s="7"/>
      <x:c r="C24" s="7"/>
    </x:row>
    <x:row r="25" ht="22" customHeight="1">
      <x:c r="A25" s="7"/>
      <x:c r="B25" s="7"/>
      <x:c r="C25" s="7"/>
    </x:row>
    <x:row r="26" ht="22" customHeight="1">
      <x:c r="A26" s="7"/>
      <x:c r="B26" s="7"/>
      <x:c r="C26" s="7"/>
    </x:row>
    <x:row r="27" ht="22" customHeight="1">
      <x:c r="A27" s="7"/>
      <x:c r="B27" s="7"/>
      <x:c r="C27" s="7"/>
    </x:row>
    <x:row r="28" ht="22" customHeight="1">
      <x:c r="A28" s="7"/>
      <x:c r="B28" s="7"/>
      <x:c r="C28" s="7"/>
    </x:row>
    <x:row r="29" ht="22" customHeight="1">
      <x:c r="A29" s="7"/>
      <x:c r="B29" s="7"/>
      <x:c r="C29" s="7"/>
    </x:row>
    <x:row r="30" ht="22" customHeight="1">
      <x:c r="A30" s="7"/>
      <x:c r="B30" s="7"/>
      <x:c r="C30" s="7"/>
    </x:row>
    <x:row r="31" ht="22" customHeight="1">
      <x:c r="A31" s="7"/>
      <x:c r="B31" s="7"/>
      <x:c r="C31" s="7"/>
    </x:row>
    <x:row r="32" ht="22" customHeight="1">
      <x:c r="A32" s="7"/>
      <x:c r="B32" s="7"/>
      <x:c r="C32" s="7"/>
    </x:row>
    <x:row r="33" ht="22" customHeight="1">
      <x:c r="A33" s="7"/>
      <x:c r="B33" s="7"/>
      <x:c r="C33" s="7"/>
    </x:row>
    <x:row r="34" ht="22" customHeight="1">
      <x:c r="A34" s="7"/>
      <x:c r="B34" s="7"/>
      <x:c r="C34" s="7"/>
    </x:row>
    <x:row r="35" ht="22" customHeight="1">
      <x:c r="A35" s="7"/>
      <x:c r="B35" s="7"/>
      <x:c r="C35" s="7"/>
    </x:row>
    <x:row r="36" ht="22" customHeight="1">
      <x:c r="A36" s="7"/>
      <x:c r="B36" s="7"/>
      <x:c r="C36" s="7"/>
    </x:row>
    <x:row r="37" ht="22" customHeight="1">
      <x:c r="A37" s="7"/>
      <x:c r="B37" s="7"/>
      <x:c r="C37" s="7"/>
    </x:row>
    <x:row r="38" ht="22" customHeight="1">
      <x:c r="A38" s="7"/>
      <x:c r="B38" s="7"/>
      <x:c r="C38" s="7"/>
    </x:row>
    <x:row r="39" ht="22" customHeight="1">
      <x:c r="A39" s="7"/>
      <x:c r="B39" s="7"/>
      <x:c r="C39" s="7"/>
    </x:row>
    <x:row r="40" ht="22" customHeight="1">
      <x:c r="A40" s="7"/>
      <x:c r="B40" s="7"/>
      <x:c r="C40" s="7"/>
    </x:row>
    <x:row r="41" ht="22" customHeight="1">
      <x:c r="A41" s="7"/>
      <x:c r="B41" s="7"/>
      <x:c r="C41" s="7"/>
    </x:row>
    <x:row r="42" ht="22" customHeight="1">
      <x:c r="A42" s="7"/>
      <x:c r="B42" s="7"/>
      <x:c r="C42" s="7"/>
    </x:row>
    <x:row r="43" ht="22" customHeight="1">
      <x:c r="A43" s="7"/>
      <x:c r="B43" s="7"/>
      <x:c r="C43" s="7"/>
    </x:row>
    <x:row r="44" ht="22" customHeight="1">
      <x:c r="A44" s="7"/>
      <x:c r="B44" s="7"/>
      <x:c r="C44" s="7"/>
    </x:row>
    <x:row r="45" ht="22" customHeight="1">
      <x:c r="A45" s="7"/>
      <x:c r="B45" s="7"/>
      <x:c r="C45" s="7"/>
    </x:row>
  </x:sheetData>
  <x:pageMargins left="0.7" right="0.7" top="0.75" bottom="0.75" header="0.3" footer="0.3"/>
  <x:tableParts count="1">
    <x:tablePart xmlns:r="http://schemas.openxmlformats.org/officeDocument/2006/relationships" r:id="R61aba23dc4ad4b62"/>
  </x:tableParts>
</x:worksheet>
</file>

<file path=xl/worksheets/sheet7.xml><?xml version="1.0" encoding="utf-8"?>
<x:worksheet xmlns:x="http://schemas.openxmlformats.org/spreadsheetml/2006/main">
  <x:sheetPr>
    <x:tabColor rgb="FF7B8791"/>
  </x:sheetPr>
  <x:sheetViews>
    <x:sheetView showGridLines="0" workbookViewId="0"/>
  </x:sheetViews>
  <x:sheetFormatPr defaultRowHeight="15"/>
  <x:cols>
    <x:col min="1" max="1" width="6" hidden="0" customWidth="1"/>
    <x:col min="2" max="2" width="120" hidden="0" customWidth="1"/>
    <x:col min="3" max="3" width="5" hidden="0" customWidth="1"/>
  </x:cols>
  <x:sheetData>
    <x:row r="1" ht="24" customHeight="1">
      <x:c r="A1" s="29"/>
      <x:c r="B1" s="29"/>
      <x:c r="C1" s="29"/>
    </x:row>
    <x:row r="2" ht="24" customHeight="1">
      <x:c r="A2" s="29"/>
      <x:c r="B2" s="8" t="str">
        <x:v>Start here: activate the workbook once</x:v>
      </x:c>
      <x:c r="C2" s="29"/>
    </x:row>
    <x:row r="3" ht="24" customHeight="1">
      <x:c r="A3" s="29"/>
      <x:c r="B3" s="29"/>
      <x:c r="C3" s="29"/>
    </x:row>
    <x:row r="4" ht="32" customHeight="1">
      <x:c r="A4" s="29"/>
      <x:c r="B4" s="30" t="str">
        <x:v>Raw Data is empty. The reports show saved example summaries from your supplied export. Paste your data, then activate the complete query below once in desktop Excel.</x:v>
      </x:c>
      <x:c r="C4" s="29"/>
    </x:row>
    <x:row r="5" ht="24" customHeight="1">
      <x:c r="A5" s="29"/>
      <x:c r="B5" s="29"/>
      <x:c r="C5" s="29"/>
    </x:row>
    <x:row r="6" ht="48" customHeight="1">
      <x:c r="A6" s="29"/>
      <x:c r="B6" s="30" t="str">
        <x:v>1. Save locally. Paste the original CSV values into Raw Data!A2 (without headers), and resize RawCalls to include every row. On Repeat Detail, select A6, then Ctrl+Shift+End and Delete to clear the saved summaries. Keep rows 1–5.</x:v>
      </x:c>
      <x:c r="C6" s="29"/>
    </x:row>
    <x:row r="7" ht="24" customHeight="1">
      <x:c r="A7" s="29"/>
      <x:c r="B7" s="29"/>
      <x:c r="C7" s="29"/>
    </x:row>
    <x:row r="8" ht="48" customHeight="1">
      <x:c r="A8" s="29"/>
      <x:c r="B8" s="30" t="str">
        <x:v>2. Return here and select B32. Click inside the formula bar, press Ctrl+A and Ctrl+C to copy all the code, then press Esc. Do not copy the cell directly: Excel may add quotation marks.</x:v>
      </x:c>
      <x:c r="C8" s="29"/>
    </x:row>
    <x:row r="9" ht="24" customHeight="1">
      <x:c r="A9" s="29"/>
      <x:c r="B9" s="29"/>
      <x:c r="C9" s="29"/>
    </x:row>
    <x:row r="10" ht="48" customHeight="1">
      <x:c r="A10" s="29"/>
      <x:c r="B10" s="30" t="str">
        <x:v>3. Choose Data &gt; Get Data &gt; From Other Sources &gt; Blank Query. In the Power Query editor, choose Home &gt; Advanced Editor. Replace the entire existing expression with the copied code, then choose Done.</x:v>
      </x:c>
      <x:c r="C10" s="29"/>
    </x:row>
    <x:row r="11" ht="24" customHeight="1">
      <x:c r="A11" s="29"/>
      <x:c r="B11" s="29"/>
      <x:c r="C11" s="29"/>
    </x:row>
    <x:row r="12" ht="48" customHeight="1">
      <x:c r="A12" s="29"/>
      <x:c r="B12" s="30" t="str">
        <x:v>4. Name the query CallAnalysis in Query Settings. Choose Home &gt; Close &amp; Load &gt; Close &amp; Load To… &gt; Table &gt; Existing worksheet. Select Repeat Detail!$A$5 and click OK.</x:v>
      </x:c>
      <x:c r="C12" s="29"/>
    </x:row>
    <x:row r="13" ht="24" customHeight="1">
      <x:c r="A13" s="29"/>
      <x:c r="B13" s="29"/>
      <x:c r="C13" s="29"/>
    </x:row>
    <x:row r="14" ht="48" customHeight="1">
      <x:c r="A14" s="29"/>
      <x:c r="B14" s="30" t="str">
        <x:v>5. Wait for the load to finish. Confirm the Dashboard shows 263,617 dated calls, 228,146 identifiable calls, 34,593 repeat loan-days and a 19.17% repeat rate. Save the workbook.</x:v>
      </x:c>
      <x:c r="C14" s="29"/>
    </x:row>
    <x:row r="15" ht="24" customHeight="1">
      <x:c r="A15" s="29"/>
      <x:c r="B15" s="29"/>
      <x:c r="C15" s="29"/>
    </x:row>
    <x:row r="16" ht="32" customHeight="1">
      <x:c r="A16" s="29"/>
      <x:c r="B16" s="31" t="str">
        <x:v>Routine update: replace the export</x:v>
      </x:c>
      <x:c r="C16" s="29"/>
    </x:row>
    <x:row r="17" ht="48" customHeight="1">
      <x:c r="A17" s="29"/>
      <x:c r="B17" s="30" t="str">
        <x:v>On Raw Data, select the old table data (not the header), right-click &gt; Delete &gt; Table Rows. Paste the new eight-column export values into A2, without its header row.</x:v>
      </x:c>
      <x:c r="C17" s="29"/>
    </x:row>
    <x:row r="18" ht="24" customHeight="1">
      <x:c r="A18" s="29"/>
      <x:c r="B18" s="29"/>
      <x:c r="C18" s="29"/>
    </x:row>
    <x:row r="19" ht="48" customHeight="1">
      <x:c r="A19" s="29"/>
      <x:c r="B19" s="30" t="str">
        <x:v>Confirm Table Design &gt; Resize Table includes exactly the new header and data rows. Preserve the RawCalls table name and all eight column headers. Keep call IDs and loan numbers as text.</x:v>
      </x:c>
      <x:c r="C19" s="29"/>
    </x:row>
    <x:row r="20" ht="24" customHeight="1">
      <x:c r="A20" s="29"/>
      <x:c r="B20" s="29"/>
      <x:c r="C20" s="29"/>
    </x:row>
    <x:row r="21" ht="48" customHeight="1">
      <x:c r="A21" s="29"/>
      <x:c r="B21" s="30" t="str">
        <x:v>Choose Data &gt; Refresh All and wait until the CallAnalysis query finishes. Confirm the new date range and loaded row count on Dashboard. A failed refresh can leave old results displayed: check Queries &amp; Connections for errors.</x:v>
      </x:c>
      <x:c r="C21" s="29"/>
    </x:row>
    <x:row r="22" ht="24" customHeight="1">
      <x:c r="A22" s="29"/>
      <x:c r="B22" s="29"/>
      <x:c r="C22" s="29"/>
    </x:row>
    <x:row r="23" ht="48" customHeight="1">
      <x:c r="A23" s="29"/>
      <x:c r="B23" s="30" t="str">
        <x:v>Review detail: on Repeat Detail, filter Section to Repeat call. Each row is a second or later call; Source row links to Raw Data. Filter only: do not sort this query output, because summaries must stay first. Refresh All restores its order.</x:v>
      </x:c>
      <x:c r="C23" s="29"/>
    </x:row>
    <x:row r="24" ht="24" customHeight="1">
      <x:c r="A24" s="29"/>
      <x:c r="B24" s="29"/>
      <x:c r="C24" s="29"/>
    </x:row>
    <x:row r="25" ht="48" customHeight="1">
      <x:c r="A25" s="29"/>
      <x:c r="B25" s="30" t="str">
        <x:v>Edit Topic Rules to change topic categories or phrases. Use | between alternatives, keep each category name unique, and refresh again. The maximum is 100 categories; blank rule rows are ignored.</x:v>
      </x:c>
      <x:c r="C25" s="29"/>
    </x:row>
    <x:row r="26" ht="24" customHeight="1">
      <x:c r="A26" s="29"/>
      <x:c r="B26" s="29"/>
      <x:c r="C26" s="29"/>
    </x:row>
    <x:row r="27" ht="48" customHeight="1">
      <x:c r="A27" s="29"/>
      <x:c r="B27" s="30" t="str">
        <x:v>Limits: up to a 366-day span per export and the Excel worksheet row limit. Missing loan numbers are excluded from matching. Duplicate call IDs keep their first input occurrence. No macros or external data connection are required.</x:v>
      </x:c>
      <x:c r="C27" s="29"/>
    </x:row>
    <x:row r="28" ht="24" customHeight="1">
      <x:c r="A28" s="29"/>
      <x:c r="B28" s="29"/>
      <x:c r="C28" s="29"/>
    </x:row>
    <x:row r="29" ht="48" customHeight="1">
      <x:c r="A29" s="29"/>
      <x:c r="B29" s="30" t="str">
        <x:v>Validation: saved example totals and boundary cases were checked independently. Formula propagation was tested. Native desktop Excel / Power Query refresh was not executed here; the first refresh above is the remaining check.</x:v>
      </x:c>
      <x:c r="C29" s="29"/>
    </x:row>
    <x:row r="30" ht="24" customHeight="1">
      <x:c r="A30" s="29"/>
      <x:c r="B30" s="29"/>
      <x:c r="C30" s="29"/>
    </x:row>
    <x:row r="31" ht="32" customHeight="1">
      <x:c r="A31" s="29"/>
      <x:c r="B31" s="32" t="str">
        <x:v>POWER QUERY CODE — select B32 and copy the contents from the formula bar.</x:v>
      </x:c>
      <x:c r="C31" s="29"/>
    </x:row>
    <x:row r="32" ht="24" customHeight="1">
      <x:c r="A32" s="29"/>
      <x:c r="B32" s="34" t="str">
        <x:v>let
    // Reads only tables in this workbook. No external service or file path is used.
    Source = Excel.CurrentWorkbook(){[Name="RawCalls"]}[Content],
    Required = {"CALL ID","DATE","TIMESTAMP","SKILL","IVA.fromIVA","Routing.IVR Menu","Routing.Transfer Path","LoanNumber"},
    Checked = if List.ContainsAll(Table.ColumnNames(Source), Required) then Table.SelectColumns(Source,Required) else error "RawCalls must contain the original eight export headers.",
    Txt = (v as any) as text =&gt; if v=null then "" else Text.Trim(Text.From(v,"en-US")),
    SourceIndexed = Table.AddIndexColumn(Checked,"Source row",2,1,Int64.Type),
    Nonblank = Table.SelectRows(SourceIndexed, each List.AnyTrue(List.Transform(Record.FieldValues(Record.SelectFields(_,Required)), each Txt(_)&lt;&gt;""))),
    Indexed = Nonblank,
    TextCols = Table.TransformColumns(Indexed,List.Transform(List.RemoveItems(Required,{"DATE","TIMESTAMP"}), each {_,Txt,type text})),
    HasID = Table.SelectRows(TextCols,each [CALL ID]&lt;&gt;""),
    // Keep the first occurrence in input order when an ID is repeated.
    Dedup = Table.Buffer(Table.Distinct(Table.Buffer(HasID),{"CALL ID"})),
    ParseDate = (v as any) as nullable date =&gt; try (if Value.Is(v,type text) then Date.FromText(Text.Replace(Txt(v),"/","-"),[Culture="en-US"]) else Date.From(v)) otherwise null,
    ParseTime = (v as any) as nullable datetime =&gt; try (if Value.Is(v,type text) then DateTime.FromText(if Text.Contains(Txt(v),", ") then Text.AfterDelimiter(Txt(v),", ") else Txt(v),[Culture="en-US"]) else DateTime.From(v)) otherwise null,
    WithDate = Table.AddColumn(Dedup,"Call date",each ParseDate([DATE]),type nullable date),
    WithTime = Table.AddColumn(WithDate,"Call start",each ParseTime([TIMESTAMP]),type nullable datetime),
    WithLoan = Table.AddColumn(WithTime,"Valid loan",each Text.Length([LoanNumber])=10 and Text.Select([LoanNumber],{"0".."9"})=[LoanNumber],type logical),
    Dated = Table.Buffer(Table.SelectRows(WithLoan,each [Call date]&lt;&gt;null)),
    Dates = Dated[Call date],
    FirstDate = if List.IsEmpty(Dates) then null else List.Min(Dates),
    LastDate = if List.IsEmpty(Dates) then null else List.Max(Dates),
    Span = if FirstDate=null then 0 else Duration.Days(LastDate-FirstDate)+1,
    Scope = if Span&gt;366 then error "This workbook supports a maximum 366-day date span per refresh. Replace RawCalls with a shorter period." else Dated,
    Valid = Table.SelectRows(Scope,each [Valid loan]),
    TimeMissing = Table.AddColumn(Valid,"Time missing",each [Call start]=null,type logical),
    Ordered = Table.Buffer(Table.Sort(TimeMissing,{{"Call date",Order.Ascending},{"LoanNumber",Order.Ascending},{"Time missing",Order.Ascending},{"Call start",Order.Ascending},{"CALL ID",Order.Ascending}})),
    Groups = Table.Group(Ordered,{"Call date","LoanNumber"},{{"Calls", each Table.RowCount(_),Int64.Type},{"Rows",(g)=&gt;let
        s=Table.Buffer(g), n=Table.RowCount(s), times=List.Buffer(s[Call start]),
        // A missing timestamp makes ordering uncertain for the entire loan/day.
        timesOK=List.NonNullCount(times)=n,
        i=Table.AddIndexColumn(s,"Call sequence",1,1,Int64.Type),
        gap=Table.AddColumn(i,"Minutes since prior start",each if [Call sequence]=1 or not timesOK then null else Duration.TotalMinutes([Call start]-times{[Call sequence]-2}),type nullable number),
        count=Table.AddColumn(gap,"Calls for loan today",each n,Int64.Type),
        flag=Table.AddColumn(count,"Timing valid",each timesOK,type logical)
        in flag}},GroupKind.Local),
    Detail = if Table.RowCount(Groups)=0 then #table(Table.ColumnNames(Ordered)&amp;{"Call sequence","Minutes since prior start","Calls for loan today","Timing valid"},{}) else Table.Combine(Groups[Rows]),
    Repeats = Table.Buffer(Table.SelectRows(Detail,each [Call sequence]&gt;1)),
    DailyAll = Table.Group(Scope,{"Call date"},{{"All calls",each Table.RowCount(_),Int64.Type}}),
    DailyLoans = Table.Group(Groups,{"Call date"},{{"Identifiable calls",each List.Sum([Calls]),Int64.Type},{"Unique loans",each Table.RowCount(_),Int64.Type},{"Repeat loans",each List.Count(List.Select([Calls],each _&gt;1)),Int64.Type},{"Additional calls",each List.Sum([Calls])-Table.RowCount(_),Int64.Type},{"Calls from repeat loans",each List.Sum(List.Select([Calls],each _&gt;1)),Int64.Type}}),
    Calendar = Table.FromColumns({if Span=0 then {} else List.Dates(FirstDate,Span,#duration(1,0,0,0))},{"Call date"}),
    JoinAll = Table.NestedJoin(Calendar,{"Call date"},DailyAll,{"Call date"},"a",JoinKind.LeftOuter),
    ExpandAll = Table.ExpandTableColumn(JoinAll,"a",{"All calls"}),
    JoinLoans = Table.NestedJoin(ExpandAll,{"Call date"},DailyLoans,{"Call date"},"b",JoinKind.LeftOuter),
    ExpandLoans = Table.ExpandTableColumn(JoinLoans,"b",{"Identifiable calls","Unique loans","Repeat loans","Additional calls","Calls from repeat loans"}),
    Daily = Table.ReplaceValue(ExpandLoans,null,0,Replacer.ReplaceValue,{"All calls","Identifiable calls","Unique loans","Repeat loans","Additional calls","Calls from repeat loans"}),
    // Whole words / phrases after punctuation normalization; categories may overlap.
    Normalize = (v as any) as text =&gt; " " &amp; Text.Combine(List.Select(Text.SplitAny(Text.Lower(Txt(v))," ,.;:!?-/()[]{}" &amp; Character.FromNumber(34) &amp; Character.FromNumber(39) &amp; "#(tab)#(cr)#(lf)"),each _&lt;&gt;"")," ") &amp; " ",
    RulesInput = Excel.CurrentWorkbook(){[Name="TopicRules"]}[Content],
    RulesClean = Table.TransformColumns(RulesInput,{{"Category",Txt,type text},{"Keywords",Txt,type text}}),
    RulesUsed = Table.SelectRows(RulesClean,each [Category]&lt;&gt;"" and [Keywords]&lt;&gt;""),
    RuleGuard = if Table.RowCount(RulesUsed)&gt;100 then error "TopicRules supports at most 100 categories." else if List.Count(List.Distinct(RulesUsed[Category]))&lt;&gt;Table.RowCount(RulesUsed) then error "Each TopicRules category must be unique. Put multiple phrases in Keywords separated by |." else RulesUsed,
    Rules = List.Buffer(List.Transform(Table.ToRecords(RuleGuard),each [Category=[Category],Phrases=List.Buffer(List.Select(List.Transform(Text.Split([Keywords],"|"),Normalize),each Text.Trim(_)&lt;&gt;""))])),
    AllText = List.Buffer(List.Transform(Table.SelectRows(Scope,each [IVA.fromIVA]&lt;&gt;"")[IVA.fromIVA],Normalize)),
    RepeatText = List.Buffer(List.Transform(Table.SelectRows(Repeats,each [IVA.fromIVA]&lt;&gt;"")[IVA.fromIVA],Normalize)),
    Matches = (s as text,phrases as list) as logical =&gt; List.AnyTrue(List.Transform(phrases,each Text.Contains(s,_))),
    TopicRecords = List.Transform(Rules,(rule)=&gt;[Section="Topic",Label=rule[Category],Count=List.Count(List.Select(AllText,each Matches(_,rule[Phrases]))),Denominator=List.Count(AllText),#"Repeat count"=List.Count(List.Select(RepeatText,each Matches(_,rule[Phrases]))),#"Repeat denominator"=List.Count(RepeatText)]),
    KnownMenus = {"Insurance.Escrow.Tax Menu","Payment IVR","Payoff","Loan Information","Servicing Digital Menu","Loan Documents Menu","Forms Request Menu","ACH","Representative Menu","Return to Main Menu","No recorded menu","Other menu"},
    MenuBucket = (s as text) as text =&gt; if s="" then "No recorded menu" else if List.Contains(KnownMenus,s) then s else "Other menu",
    AllMenus = List.Buffer(List.Transform(Scope[Routing.IVR Menu],MenuBucket)),
    RepeatMenus = List.Buffer(List.Transform(Repeats[Routing.IVR Menu],MenuBucket)),
    MenuRecords = List.Transform(KnownMenus,(m)=&gt;[Section="Menu",Label=m,Count=List.Count(List.Select(AllMenus,each _=m)),Denominator=Table.RowCount(Scope),#"Repeat count"=List.Count(List.Select(RepeatMenus,each _=m)),#"Repeat denominator"=Table.RowCount(Repeats)]),
    Gaps = List.RemoveNulls(Repeats[Minutes since prior start]),
    QualityPairs = {
        {"Loaded rows",Table.RowCount(Nonblank)},
        {"Missing call IDs",Table.RowCount(TextCols)-Table.RowCount(HasID)},
        {"Duplicate IDs removed",Table.RowCount(HasID)-Table.RowCount(Dedup)},
        {"Unique calls",Table.RowCount(Dedup)},
        {"Invalid dates excluded",Table.RowCount(WithLoan)-Table.RowCount(Dated)},
        {"Calls with valid dates",Table.RowCount(Scope)},
        {"Unusable loan numbers",Table.RowCount(Scope)-Table.RowCount(Valid)},
        {"Identifiable calls",Table.RowCount(Valid)},
        {"Unique loans in period",List.Count(List.Distinct(Valid[LoanNumber]))},
        {"Additional calls",Table.RowCount(Repeats)},
        {"Repeat calls with utterances",List.Count(RepeatText)},
        {"All calls with utterances",List.Count(AllText)},
        {"Repeat gaps within 5 minutes",List.Count(List.Select(Gaps,each _&gt;=0 and _&lt;=5))},
        {"Repeat calls with valid gaps",List.Count(Gaps)},
        {"Median gap minutes",if List.IsEmpty(Gaps) then null else List.Median(Gaps)},
        {"Invalid timestamps",Table.RowCount(Table.SelectRows(Scope,each [Call start]=null))},
        {"Timestamp date mismatches",Table.RowCount(Table.SelectRows(Scope,each [Call start]&lt;&gt;null and Date.From([Call start])&lt;&gt;[Call date]))},
        {"First date",if FirstDate=null then null else Duration.Days(FirstDate-#date(1899,12,30))},
        {"Last date",if LastDate=null then null else Duration.Days(LastDate-#date(1899,12,30))},
        {"Date span",Span},
        {"Result generated at",Duration.TotalDays(DateTime.LocalNow()-#datetime(1899,12,30,0,0,0))}
    },
    QualityRecords = List.Transform(QualityPairs,each [Section="Quality",Label=_{0},Count=_{1}]),
    DailyRecords = List.Transform(Table.ToRecords(Daily),each [Section="Daily",Date=[Call date],#"All calls"=[All calls],#"Identifiable calls"=[Identifiable calls],#"Unique loans"=[Unique loans],#"Repeat loans"=[Repeat loans],#"Additional calls"=[Additional calls],#"Calls from repeat loans"=[Calls from repeat loans]]),
    DetailRecords = List.Transform(Table.ToRecords(Repeats),each [Section="Repeat call",Date=[Call date],#"Loan number"=[LoanNumber],#"Call ID"=[CALL ID],#"Call start"=[Call start],Sequence=[Call sequence],#"Gap minutes"=[Minutes since prior start],Label=[Routing.IVR Menu],Utterance=[IVA.fromIVA],#"Source row"=[Source row],Skill=[SKILL],#"Transfer path"=[Routing.Transfer Path]]),
    Columns = {"Section","Date","Loan number","Call ID","Call start","Sequence","Gap minutes","Label","All calls","Identifiable calls","Unique loans","Repeat loans","Additional calls","Calls from repeat loans","Count","Denominator","Repeat count","Repeat denominator","Utterance","Source row","Skill","Transfer path"},
    Records = List.Combine({DailyRecords,TopicRecords,MenuRecords,QualityRecords,DetailRecords}),
    OutputRecords = if List.Count(Records)&gt;1048571 then error "The calculated output exceeds Excel's worksheet row limit. Use a shorter reporting period." else Records,
    Out = Table.FromRecords(OutputRecords,Columns,MissingField.UseNull),
    Typed = Table.TransformColumnTypes(Out,{{"Date",type date},{"Call start",type datetime},{"Loan number",type text},{"Call ID",type text},{"Sequence",Int64.Type},{"Gap minutes",type number},{"All calls",Int64.Type},{"Identifiable calls",Int64.Type},{"Unique loans",Int64.Type},{"Repeat loans",Int64.Type},{"Additional calls",Int64.Type},{"Calls from repeat loans",Int64.Type},{"Count",type number},{"Denominator",Int64.Type},{"Repeat count",Int64.Type},{"Repeat denominator",Int64.Type},{"Source row",Int64.Type}})
in
    Typed
</x:v>
      </x:c>
      <x:c r="C32" s="29"/>
    </x:row>
    <x:row r="33" ht="24" customHeight="1">
      <x:c r="A33" s="29"/>
      <x:c r="B33" s="29"/>
      <x:c r="C33" s="29"/>
    </x:row>
    <x:row r="34" ht="48" customHeight="1">
      <x:c r="A34" s="29"/>
      <x:c r="B34" s="30" t="str">
        <x:v>If the first load fails, retain the workbook and share the exact error message. Do not rename RawCalls, TopicRules, Repeat Detail, or the original export columns.</x:v>
      </x:c>
      <x:c r="C34" s="29"/>
    </x:row>
    <x:row r="35" ht="24" customHeight="1">
      <x:c r="A35" s="29"/>
      <x:c r="B35" s="29"/>
      <x:c r="C35" s="29"/>
    </x:row>
    <x:row r="36" ht="48" customHeight="1">
      <x:c r="A36" s="29"/>
      <x:c r="B36" s="30" t="str">
        <x:v>Matching notes: usable loan numbers contain exactly 10 digits. Topics match whole words / phrases after punctuation normalization, so counts can differ slightly from the earlier chat keyword analysis.</x:v>
      </x:c>
      <x:c r="C36" s="29"/>
    </x:row>
    <x:row r="37" ht="24" customHeight="1">
      <x:c r="A37" s="29"/>
      <x:c r="B37" s="29"/>
      <x:c r="C37" s="29"/>
    </x:row>
    <x:row r="38" ht="48" customHeight="1">
      <x:c r="A38" s="29"/>
      <x:c r="B38" s="30" t="str">
        <x:v>Timing notes: calls sort by date, loan, timestamp and call ID. If any timestamp is missing in a loan/day group, that group retains its repeat count but has no gap calculation. Equal timestamps use call ID as a tie-breaker.</x:v>
      </x:c>
      <x:c r="C38" s="29"/>
    </x:row>
    <x:row r="39" ht="24" customHeight="1">
      <x:c r="A39" s="29"/>
      <x:c r="B39" s="29"/>
      <x:c r="C39" s="29"/>
    </x:row>
    <x:row r="40" ht="24" customHeight="1">
      <x:c r="A40" s="29"/>
      <x:c r="B40" s="29"/>
      <x:c r="C40" s="29"/>
    </x:row>
    <x:row r="41" ht="24" customHeight="1">
      <x:c r="A41" s="29"/>
      <x:c r="B41" s="29"/>
      <x:c r="C41" s="29"/>
    </x:row>
    <x:row r="42" ht="24" customHeight="1">
      <x:c r="A42" s="29"/>
      <x:c r="B42" s="29"/>
      <x:c r="C42" s="29"/>
    </x:row>
  </x:sheetData>
  <x:pageMargins left="0.7" right="0.7" top="0.75" bottom="0.75" header="0.3" footer="0.3"/>
</x:worksheet>
</file>